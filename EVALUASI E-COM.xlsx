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-COMM\EVALUASI &amp; ANALISA\"/>
    </mc:Choice>
  </mc:AlternateContent>
  <xr:revisionPtr revIDLastSave="0" documentId="13_ncr:1_{9D93F80B-5D01-4D0C-AD92-336F463A7C67}" xr6:coauthVersionLast="47" xr6:coauthVersionMax="47" xr10:uidLastSave="{00000000-0000-0000-0000-000000000000}"/>
  <bookViews>
    <workbookView xWindow="-110" yWindow="-110" windowWidth="19420" windowHeight="10300" xr2:uid="{8EABD6E5-99A2-4798-8FD2-1D252F001A61}"/>
  </bookViews>
  <sheets>
    <sheet name="Shopee" sheetId="8" r:id="rId1"/>
    <sheet name="Tokopedia" sheetId="2" r:id="rId2"/>
    <sheet name="Alfagift" sheetId="3" r:id="rId3"/>
    <sheet name="PCA" sheetId="4" r:id="rId4"/>
    <sheet name="Bli Bli" sheetId="6" r:id="rId5"/>
    <sheet name="Berhasil Tumbuh Bersama" sheetId="5" r:id="rId6"/>
    <sheet name="Lazada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4" i="6" l="1"/>
  <c r="E14" i="6"/>
  <c r="D14" i="6"/>
  <c r="C14" i="6"/>
  <c r="G14" i="6" s="1"/>
  <c r="E3" i="7"/>
  <c r="D5" i="7"/>
  <c r="E5" i="7" s="1"/>
  <c r="D4" i="7"/>
  <c r="E4" i="7" s="1"/>
  <c r="D3" i="7"/>
  <c r="E30" i="5"/>
  <c r="E28" i="5"/>
  <c r="D30" i="5"/>
  <c r="D29" i="5"/>
  <c r="E29" i="5" s="1"/>
  <c r="D28" i="5"/>
  <c r="D27" i="5"/>
  <c r="E27" i="5" s="1"/>
  <c r="D26" i="5"/>
  <c r="E26" i="5" s="1"/>
  <c r="D25" i="5"/>
  <c r="E25" i="5" s="1"/>
  <c r="D24" i="5"/>
  <c r="E24" i="5" s="1"/>
  <c r="D23" i="5"/>
  <c r="E23" i="5" s="1"/>
  <c r="D22" i="5"/>
  <c r="E22" i="5" s="1"/>
  <c r="D21" i="5"/>
  <c r="E21" i="5" s="1"/>
  <c r="D20" i="5"/>
  <c r="E20" i="5" s="1"/>
  <c r="D19" i="5"/>
  <c r="E19" i="5" s="1"/>
  <c r="D18" i="5"/>
  <c r="E18" i="5" s="1"/>
  <c r="D17" i="5"/>
  <c r="E17" i="5" s="1"/>
  <c r="D16" i="5"/>
  <c r="E16" i="5" s="1"/>
  <c r="D15" i="5"/>
  <c r="E15" i="5" s="1"/>
  <c r="D14" i="5"/>
  <c r="E14" i="5" s="1"/>
  <c r="D13" i="5"/>
  <c r="E13" i="5" s="1"/>
  <c r="D12" i="5"/>
  <c r="E12" i="5" s="1"/>
  <c r="D11" i="5"/>
  <c r="E11" i="5" s="1"/>
  <c r="D10" i="5"/>
  <c r="E10" i="5" s="1"/>
  <c r="D9" i="5"/>
  <c r="E9" i="5" s="1"/>
  <c r="D8" i="5"/>
  <c r="E8" i="5" s="1"/>
  <c r="D7" i="5"/>
  <c r="E7" i="5" s="1"/>
  <c r="D6" i="5"/>
  <c r="E6" i="5" s="1"/>
  <c r="D5" i="5"/>
  <c r="E5" i="5" s="1"/>
  <c r="D4" i="5"/>
  <c r="E4" i="5" s="1"/>
  <c r="D3" i="5"/>
  <c r="E3" i="5" s="1"/>
  <c r="G13" i="6"/>
  <c r="H13" i="6" s="1"/>
  <c r="G12" i="6"/>
  <c r="H12" i="6" s="1"/>
  <c r="G11" i="6"/>
  <c r="H11" i="6" s="1"/>
  <c r="G10" i="6"/>
  <c r="H10" i="6" s="1"/>
  <c r="G9" i="6"/>
  <c r="H9" i="6" s="1"/>
  <c r="G8" i="6"/>
  <c r="H8" i="6" s="1"/>
  <c r="G7" i="6"/>
  <c r="H7" i="6" s="1"/>
  <c r="G6" i="6"/>
  <c r="H6" i="6" s="1"/>
  <c r="G5" i="6"/>
  <c r="H5" i="6" s="1"/>
  <c r="G4" i="6"/>
  <c r="H4" i="6" s="1"/>
  <c r="G3" i="6"/>
  <c r="H3" i="6" s="1"/>
  <c r="G67" i="4"/>
  <c r="G59" i="4"/>
  <c r="G51" i="4"/>
  <c r="G44" i="4"/>
  <c r="G36" i="4"/>
  <c r="G28" i="4"/>
  <c r="G21" i="4"/>
  <c r="G13" i="4"/>
  <c r="G5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G66" i="4"/>
  <c r="G65" i="4"/>
  <c r="G64" i="4"/>
  <c r="G63" i="4"/>
  <c r="G62" i="4"/>
  <c r="G61" i="4"/>
  <c r="G60" i="4"/>
  <c r="G58" i="4"/>
  <c r="G57" i="4"/>
  <c r="G56" i="4"/>
  <c r="G55" i="4"/>
  <c r="G54" i="4"/>
  <c r="G53" i="4"/>
  <c r="G52" i="4"/>
  <c r="G50" i="4"/>
  <c r="G49" i="4"/>
  <c r="G48" i="4"/>
  <c r="G47" i="4"/>
  <c r="G46" i="4"/>
  <c r="G45" i="4"/>
  <c r="G43" i="4"/>
  <c r="G42" i="4"/>
  <c r="G41" i="4"/>
  <c r="G40" i="4"/>
  <c r="G39" i="4"/>
  <c r="G38" i="4"/>
  <c r="G37" i="4"/>
  <c r="G35" i="4"/>
  <c r="G34" i="4"/>
  <c r="G33" i="4"/>
  <c r="G32" i="4"/>
  <c r="G31" i="4"/>
  <c r="G30" i="4"/>
  <c r="G29" i="4"/>
  <c r="G27" i="4"/>
  <c r="G26" i="4"/>
  <c r="G25" i="4"/>
  <c r="G24" i="4"/>
  <c r="G23" i="4"/>
  <c r="G22" i="4"/>
  <c r="G20" i="4"/>
  <c r="G19" i="4"/>
  <c r="G18" i="4"/>
  <c r="G17" i="4"/>
  <c r="G16" i="4"/>
  <c r="G15" i="4"/>
  <c r="G14" i="4"/>
  <c r="G12" i="4"/>
  <c r="G11" i="4"/>
  <c r="G10" i="4"/>
  <c r="G9" i="4"/>
  <c r="G8" i="4"/>
  <c r="G7" i="4"/>
  <c r="G6" i="4"/>
  <c r="G4" i="4"/>
  <c r="G3" i="4"/>
  <c r="H21" i="3"/>
  <c r="I21" i="3" s="1"/>
  <c r="H20" i="3"/>
  <c r="I20" i="3" s="1"/>
  <c r="H19" i="3"/>
  <c r="I19" i="3" s="1"/>
  <c r="H18" i="3"/>
  <c r="I18" i="3" s="1"/>
  <c r="H17" i="3"/>
  <c r="I17" i="3" s="1"/>
  <c r="H16" i="3"/>
  <c r="I16" i="3" s="1"/>
  <c r="H15" i="3"/>
  <c r="I15" i="3" s="1"/>
  <c r="H14" i="3"/>
  <c r="I14" i="3" s="1"/>
  <c r="H13" i="3"/>
  <c r="I13" i="3" s="1"/>
  <c r="H12" i="3"/>
  <c r="I12" i="3" s="1"/>
  <c r="H11" i="3"/>
  <c r="I11" i="3" s="1"/>
  <c r="H10" i="3"/>
  <c r="I10" i="3" s="1"/>
  <c r="H9" i="3"/>
  <c r="I9" i="3" s="1"/>
  <c r="H8" i="3"/>
  <c r="I8" i="3" s="1"/>
  <c r="H7" i="3"/>
  <c r="I7" i="3" s="1"/>
  <c r="H6" i="3"/>
  <c r="I6" i="3" s="1"/>
  <c r="H5" i="3"/>
  <c r="I5" i="3" s="1"/>
  <c r="H4" i="3"/>
  <c r="I4" i="3" s="1"/>
  <c r="H3" i="3"/>
  <c r="I3" i="3" s="1"/>
  <c r="F55" i="2"/>
  <c r="G55" i="2" s="1"/>
  <c r="F54" i="2"/>
  <c r="G54" i="2" s="1"/>
  <c r="F53" i="2"/>
  <c r="G53" i="2" s="1"/>
  <c r="F52" i="2"/>
  <c r="G52" i="2" s="1"/>
  <c r="F51" i="2"/>
  <c r="G51" i="2" s="1"/>
  <c r="F50" i="2"/>
  <c r="G50" i="2" s="1"/>
  <c r="F49" i="2"/>
  <c r="G49" i="2" s="1"/>
  <c r="F48" i="2"/>
  <c r="G48" i="2" s="1"/>
  <c r="F47" i="2"/>
  <c r="G47" i="2" s="1"/>
  <c r="F46" i="2"/>
  <c r="G46" i="2" s="1"/>
  <c r="F45" i="2"/>
  <c r="G45" i="2" s="1"/>
  <c r="F44" i="2"/>
  <c r="G44" i="2" s="1"/>
  <c r="F43" i="2"/>
  <c r="G43" i="2" s="1"/>
  <c r="F42" i="2"/>
  <c r="G42" i="2" s="1"/>
  <c r="F41" i="2"/>
  <c r="G41" i="2" s="1"/>
  <c r="F40" i="2"/>
  <c r="G40" i="2" s="1"/>
  <c r="F39" i="2"/>
  <c r="G39" i="2" s="1"/>
  <c r="F38" i="2"/>
  <c r="G38" i="2" s="1"/>
  <c r="F37" i="2"/>
  <c r="G37" i="2" s="1"/>
  <c r="F36" i="2"/>
  <c r="G36" i="2" s="1"/>
  <c r="F35" i="2"/>
  <c r="G35" i="2" s="1"/>
  <c r="F34" i="2"/>
  <c r="G34" i="2" s="1"/>
  <c r="F33" i="2"/>
  <c r="G33" i="2" s="1"/>
  <c r="F32" i="2"/>
  <c r="G32" i="2" s="1"/>
  <c r="F31" i="2"/>
  <c r="G31" i="2" s="1"/>
  <c r="F30" i="2"/>
  <c r="G30" i="2" s="1"/>
  <c r="F29" i="2"/>
  <c r="G29" i="2" s="1"/>
  <c r="F28" i="2"/>
  <c r="G28" i="2" s="1"/>
  <c r="F27" i="2"/>
  <c r="G27" i="2" s="1"/>
  <c r="F26" i="2"/>
  <c r="G26" i="2" s="1"/>
  <c r="F25" i="2"/>
  <c r="G25" i="2" s="1"/>
  <c r="F24" i="2"/>
  <c r="G24" i="2" s="1"/>
  <c r="F23" i="2"/>
  <c r="G23" i="2" s="1"/>
  <c r="F22" i="2"/>
  <c r="G22" i="2" s="1"/>
  <c r="F21" i="2"/>
  <c r="G21" i="2" s="1"/>
  <c r="F20" i="2"/>
  <c r="G20" i="2" s="1"/>
  <c r="F19" i="2"/>
  <c r="G19" i="2" s="1"/>
  <c r="F18" i="2"/>
  <c r="G18" i="2" s="1"/>
  <c r="F17" i="2"/>
  <c r="G17" i="2" s="1"/>
  <c r="F16" i="2"/>
  <c r="G16" i="2" s="1"/>
  <c r="F15" i="2"/>
  <c r="G15" i="2" s="1"/>
  <c r="F14" i="2"/>
  <c r="G14" i="2" s="1"/>
  <c r="F13" i="2"/>
  <c r="G13" i="2" s="1"/>
  <c r="F12" i="2"/>
  <c r="G12" i="2" s="1"/>
  <c r="F11" i="2"/>
  <c r="G11" i="2" s="1"/>
  <c r="F10" i="2"/>
  <c r="G10" i="2" s="1"/>
  <c r="F9" i="2"/>
  <c r="G9" i="2" s="1"/>
  <c r="F8" i="2"/>
  <c r="G8" i="2" s="1"/>
  <c r="F7" i="2"/>
  <c r="G7" i="2" s="1"/>
  <c r="F6" i="2"/>
  <c r="G6" i="2" s="1"/>
  <c r="F5" i="2"/>
  <c r="G5" i="2" s="1"/>
  <c r="F4" i="2"/>
  <c r="G4" i="2" s="1"/>
  <c r="F3" i="2"/>
  <c r="G3" i="2" s="1"/>
  <c r="F21" i="3" l="1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G71" i="8"/>
  <c r="I71" i="8" s="1"/>
  <c r="G70" i="8"/>
  <c r="I70" i="8" s="1"/>
  <c r="G69" i="8"/>
  <c r="I69" i="8" s="1"/>
  <c r="G68" i="8"/>
  <c r="I68" i="8" s="1"/>
  <c r="G67" i="8"/>
  <c r="I67" i="8" s="1"/>
  <c r="G66" i="8"/>
  <c r="G65" i="8"/>
  <c r="I65" i="8" s="1"/>
  <c r="G64" i="8"/>
  <c r="I64" i="8" s="1"/>
  <c r="G63" i="8"/>
  <c r="I63" i="8" s="1"/>
  <c r="G62" i="8"/>
  <c r="G61" i="8"/>
  <c r="I61" i="8" s="1"/>
  <c r="G60" i="8"/>
  <c r="I60" i="8" s="1"/>
  <c r="G59" i="8"/>
  <c r="I59" i="8" s="1"/>
  <c r="G58" i="8"/>
  <c r="I58" i="8" s="1"/>
  <c r="G57" i="8"/>
  <c r="I57" i="8" s="1"/>
  <c r="G56" i="8"/>
  <c r="I56" i="8" s="1"/>
  <c r="G55" i="8"/>
  <c r="I55" i="8" s="1"/>
  <c r="G54" i="8"/>
  <c r="I54" i="8" s="1"/>
  <c r="G53" i="8"/>
  <c r="G52" i="8"/>
  <c r="I52" i="8" s="1"/>
  <c r="G51" i="8"/>
  <c r="G50" i="8"/>
  <c r="I50" i="8" s="1"/>
  <c r="G49" i="8"/>
  <c r="I49" i="8" s="1"/>
  <c r="G48" i="8"/>
  <c r="I48" i="8" s="1"/>
  <c r="G47" i="8"/>
  <c r="G46" i="8"/>
  <c r="I46" i="8" s="1"/>
  <c r="G45" i="8"/>
  <c r="I45" i="8" s="1"/>
  <c r="G44" i="8"/>
  <c r="I44" i="8" s="1"/>
  <c r="G43" i="8"/>
  <c r="I43" i="8" s="1"/>
  <c r="G42" i="8"/>
  <c r="G41" i="8"/>
  <c r="I41" i="8" s="1"/>
  <c r="G40" i="8"/>
  <c r="I40" i="8" s="1"/>
  <c r="G39" i="8"/>
  <c r="I39" i="8" s="1"/>
  <c r="G38" i="8"/>
  <c r="G37" i="8"/>
  <c r="I37" i="8" s="1"/>
  <c r="G36" i="8"/>
  <c r="I36" i="8" s="1"/>
  <c r="G35" i="8"/>
  <c r="G34" i="8"/>
  <c r="I34" i="8" s="1"/>
  <c r="G33" i="8"/>
  <c r="G32" i="8"/>
  <c r="I32" i="8" s="1"/>
  <c r="G31" i="8"/>
  <c r="I31" i="8" s="1"/>
  <c r="G30" i="8"/>
  <c r="I30" i="8" s="1"/>
  <c r="G29" i="8"/>
  <c r="I29" i="8" s="1"/>
  <c r="G28" i="8"/>
  <c r="I28" i="8" s="1"/>
  <c r="G27" i="8"/>
  <c r="I27" i="8" s="1"/>
  <c r="G26" i="8"/>
  <c r="I26" i="8" s="1"/>
  <c r="G25" i="8"/>
  <c r="G24" i="8"/>
  <c r="I24" i="8" s="1"/>
  <c r="G23" i="8"/>
  <c r="I23" i="8" s="1"/>
  <c r="G22" i="8"/>
  <c r="G21" i="8"/>
  <c r="I21" i="8" s="1"/>
  <c r="G20" i="8"/>
  <c r="I20" i="8" s="1"/>
  <c r="G19" i="8"/>
  <c r="I19" i="8" s="1"/>
  <c r="G18" i="8"/>
  <c r="I18" i="8" s="1"/>
  <c r="G17" i="8"/>
  <c r="G16" i="8"/>
  <c r="G15" i="8"/>
  <c r="I15" i="8" s="1"/>
  <c r="G14" i="8"/>
  <c r="I14" i="8" s="1"/>
  <c r="G13" i="8"/>
  <c r="I13" i="8" s="1"/>
  <c r="G12" i="8"/>
  <c r="I12" i="8" s="1"/>
  <c r="G11" i="8"/>
  <c r="I11" i="8" s="1"/>
  <c r="G10" i="8"/>
  <c r="I10" i="8" s="1"/>
  <c r="G9" i="8"/>
  <c r="I9" i="8" s="1"/>
  <c r="G8" i="8"/>
  <c r="G7" i="8"/>
  <c r="G6" i="8"/>
  <c r="I6" i="8" s="1"/>
  <c r="G5" i="8"/>
  <c r="G4" i="8"/>
  <c r="I4" i="8" s="1"/>
  <c r="G3" i="8"/>
  <c r="I3" i="8" s="1"/>
  <c r="E25" i="8"/>
  <c r="E22" i="8"/>
  <c r="E20" i="8"/>
  <c r="E19" i="8"/>
  <c r="E17" i="8"/>
  <c r="E16" i="8"/>
  <c r="E12" i="8"/>
  <c r="E66" i="8"/>
  <c r="E42" i="8"/>
  <c r="E62" i="8"/>
  <c r="E57" i="8"/>
  <c r="E33" i="8"/>
  <c r="E8" i="8"/>
  <c r="E7" i="8"/>
  <c r="H14" i="6"/>
  <c r="I53" i="8" l="1"/>
  <c r="I51" i="8"/>
  <c r="I47" i="8"/>
  <c r="I38" i="8"/>
  <c r="I35" i="8"/>
  <c r="I5" i="8"/>
  <c r="I42" i="8"/>
  <c r="I66" i="8"/>
  <c r="I22" i="8"/>
  <c r="I7" i="8"/>
  <c r="I8" i="8"/>
  <c r="I16" i="8"/>
  <c r="I17" i="8"/>
  <c r="I25" i="8"/>
  <c r="I62" i="8"/>
  <c r="I33" i="8"/>
</calcChain>
</file>

<file path=xl/sharedStrings.xml><?xml version="1.0" encoding="utf-8"?>
<sst xmlns="http://schemas.openxmlformats.org/spreadsheetml/2006/main" count="546" uniqueCount="103">
  <si>
    <t>BANANA BOAT</t>
  </si>
  <si>
    <t>FREEMAN</t>
  </si>
  <si>
    <t>INTUITION</t>
  </si>
  <si>
    <t>SCHICK</t>
  </si>
  <si>
    <t>Grand Total</t>
  </si>
  <si>
    <t>Aloe Gel (90ML)</t>
  </si>
  <si>
    <t>Aloe Vera Gel (230 ML)</t>
  </si>
  <si>
    <t>AQUA Brightening UV Protection Sunscreen Lotion SPF 50+</t>
  </si>
  <si>
    <t>Clear Ultramist Sport Coolzone Spray SPF 50</t>
  </si>
  <si>
    <t>Deep Tanning Oil</t>
  </si>
  <si>
    <t>Deep Tanning Oil SPF 4</t>
  </si>
  <si>
    <t>Protective Tanning Oil SPF 15</t>
  </si>
  <si>
    <t>Simply Protect AQUA Daily Moisture Sunscreen Lotion SPF 50+</t>
  </si>
  <si>
    <t>Simply Protect AQUA Daily Moisture Sunscreen Lotion SPF 50+ BEARZZING</t>
  </si>
  <si>
    <t>Simply Protect AQUA Long Wearing Moisture Sunscreen Lotion SPF 50+</t>
  </si>
  <si>
    <t>Simply Protect AQUA Long Wearing Moisture Sunscreen Lotion SPF 50+ RABBITZZING</t>
  </si>
  <si>
    <t>Simply Protect Baby Sunscreen Lotion SPF 50+</t>
  </si>
  <si>
    <t>Simply Protect Kids Sunscreen Lotion SPF 50+</t>
  </si>
  <si>
    <t>Sport SPF 30</t>
  </si>
  <si>
    <t>Sport SPF 50 (90 ML)</t>
  </si>
  <si>
    <t>Sport SPF 50++ (90 ML)</t>
  </si>
  <si>
    <t>Sun Comfort SPF 50</t>
  </si>
  <si>
    <t>Ultra Protect Faces Lotion SPF 50</t>
  </si>
  <si>
    <t>Ultra Protect SPF 30</t>
  </si>
  <si>
    <t>Ultra Protect SPF 50 (90 ML)</t>
  </si>
  <si>
    <t>Ultramist Ultra Protect Lotion SPF 50</t>
  </si>
  <si>
    <t>DEAD SEA MINERAL FACIAL ANTI STRESS MASK</t>
  </si>
  <si>
    <t>French Pink Clay Peel-Off Mask</t>
  </si>
  <si>
    <t>GLACIER WATER PINK PEONY GEL CREAM MASK</t>
  </si>
  <si>
    <t>Hawaiian Black Salt Peel-Off Mask</t>
  </si>
  <si>
    <t>Indonesian Coconut Face Scrub</t>
  </si>
  <si>
    <t>SC EXACTA 2 WOMEN 2+1 PINK</t>
  </si>
  <si>
    <t>SC Intuition Kit Lemon Berry Breeze</t>
  </si>
  <si>
    <t xml:space="preserve">SC Intuition Kit Perfect Touch </t>
  </si>
  <si>
    <t>SC INTUITION KIT PURE NOURISHMENT (UNGU)</t>
  </si>
  <si>
    <t>SC INTUITION KIT SENSITIVE CARE (HIJAU)</t>
  </si>
  <si>
    <t>SC Intuition Ref Perfect Touch</t>
  </si>
  <si>
    <t>SC INTUITION REF PURE NOURISHMENT (UNGU)</t>
  </si>
  <si>
    <t>SC INTUITION REF SENSITIVE CARE (HIJAU)</t>
  </si>
  <si>
    <t>SC Intuition Sensitive Care Compact</t>
  </si>
  <si>
    <t>SC SILK EFFECTS KIT</t>
  </si>
  <si>
    <t>SC XTREME 3 COMF + WOMEN 45 HT</t>
  </si>
  <si>
    <t>HYDRO SENSE HYDRATE REFILL 4</t>
  </si>
  <si>
    <t>SC EXACTA 2 REG 2 BIRU</t>
  </si>
  <si>
    <t>SC EXACTA 2 SEN 2+1 HIJAU</t>
  </si>
  <si>
    <t>SC EXACTA 2 SEN 5+2</t>
  </si>
  <si>
    <t>SC EXACTA 2 SEN HANGER HIJAU</t>
  </si>
  <si>
    <t>SC EXACTA 2 SYS KIT 1+2</t>
  </si>
  <si>
    <t>SC EXACTA 2 SYS REFILL 2</t>
  </si>
  <si>
    <t>SC EYEBROW STYLING &amp; FACIAL EXFOLIATION /  TOUCH UP</t>
  </si>
  <si>
    <t>SC PRECISION STYLER</t>
  </si>
  <si>
    <t>SC QUATTRO TIT FREESTYLE</t>
  </si>
  <si>
    <t>SC QUATTRO TIT KIT</t>
  </si>
  <si>
    <t>SC QUATTRO TIT REFILL</t>
  </si>
  <si>
    <t>SC XTREME 3 MEN DISP 2+1</t>
  </si>
  <si>
    <t>2024</t>
  </si>
  <si>
    <t>2025</t>
  </si>
  <si>
    <t xml:space="preserve">AQUA Sensitive Skin Sunscreen Lotion SPF50+ </t>
  </si>
  <si>
    <t>Deep Tanning Oil SPF 2</t>
  </si>
  <si>
    <t>Protective Tanning Oil SPF 8</t>
  </si>
  <si>
    <t>SC INTUITION AM SHEA BUTTER KIT1 REFRESH (KOR)</t>
  </si>
  <si>
    <t>SC Intuition Ref Lemon Berry Breeze</t>
  </si>
  <si>
    <t>DOUBLE EDGE</t>
  </si>
  <si>
    <t>HYDRO SENSE COMFORT KIT 1</t>
  </si>
  <si>
    <t>HYDRO SENSE COMFORT REFILL 4</t>
  </si>
  <si>
    <t>HYDRO SENSE HYDRATE KIT 1</t>
  </si>
  <si>
    <t>SC EXACTA 2 REG HANGER BIRU</t>
  </si>
  <si>
    <t>SC EXACTA 2 REG HANGER YELLOW</t>
  </si>
  <si>
    <t>SC SHAVE GUARD FOAM SENSITIVE LIME 220 ML/ 210 GR</t>
  </si>
  <si>
    <t>SC XTREME 3 MEN DISP</t>
  </si>
  <si>
    <t>Tokopedia</t>
  </si>
  <si>
    <t>2023</t>
  </si>
  <si>
    <t>CUCUMBER FACIAL PELL OFF MASK</t>
  </si>
  <si>
    <t>MINT &amp; LEMON FACIAL CLAY MASK</t>
  </si>
  <si>
    <t>SWEET TEA &amp; LEMON PELL AWAY CLAY MASK</t>
  </si>
  <si>
    <t>Alfagift</t>
  </si>
  <si>
    <t>SC Intuition Kit Advance Moisture LEP</t>
  </si>
  <si>
    <t>SC Intuition Kit Bright Radiance</t>
  </si>
  <si>
    <t>SC Intuition Kit Pure Nourishment LEP</t>
  </si>
  <si>
    <t>SC Intuition Ref Bright Radiance</t>
  </si>
  <si>
    <t>SC SILK EFFECT REFILL</t>
  </si>
  <si>
    <t>SC Reload 2 KIT 1</t>
  </si>
  <si>
    <t>SC Reload 2 Refill 2</t>
  </si>
  <si>
    <t>PCA</t>
  </si>
  <si>
    <t>SC INTUITION KIT BLOSSOM</t>
  </si>
  <si>
    <t>BERHASIL TUMBUH BERSAMA</t>
  </si>
  <si>
    <t>BLI BLI</t>
  </si>
  <si>
    <t>LAZADA</t>
  </si>
  <si>
    <t>CHARCOAL &amp; BLACK SUGAR POLISHING MASK</t>
  </si>
  <si>
    <t>CHARCOAL MUD MASK DETOXIFYING MASK</t>
  </si>
  <si>
    <t>Indian Turmeric Gel Cream Mask</t>
  </si>
  <si>
    <t>Strawberry Milk - Body Sugar Scrub</t>
  </si>
  <si>
    <t>SC INTUITION REF (PINK) 4 blades</t>
  </si>
  <si>
    <t>HYDRO SILK PM2 KIT 2 UNTAG (END)</t>
  </si>
  <si>
    <t>HYDRO SILK PM2 REFILL 4 (KOR)</t>
  </si>
  <si>
    <t>SC SHAVE GUARD FOAM LIME 60 ML/ 60 GR</t>
  </si>
  <si>
    <t>SHOPEE</t>
  </si>
  <si>
    <t>EST 2026</t>
  </si>
  <si>
    <t>YTD AUG'26</t>
  </si>
  <si>
    <t>TARGET 2026</t>
  </si>
  <si>
    <t>Sales Trend</t>
  </si>
  <si>
    <t>KURANG TARGET</t>
  </si>
  <si>
    <t>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</si>
</sst>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#,##0_ ;[Red]\-#,##0\ 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41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9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4" fontId="1" fillId="2" borderId="2" xfId="0" applyNumberFormat="1" applyFont="1" applyFill="1" applyBorder="1"/>
    <xf numFmtId="0" fontId="0" fillId="0" borderId="0" xfId="0" applyAlignment="1">
      <alignment horizontal="left" indent="1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164" fontId="1" fillId="3" borderId="3" xfId="0" applyNumberFormat="1" applyFont="1" applyFill="1" applyBorder="1"/>
    <xf numFmtId="164" fontId="0" fillId="0" borderId="1" xfId="0" applyNumberFormat="1" applyBorder="1"/>
    <xf numFmtId="164" fontId="1" fillId="3" borderId="1" xfId="0" applyNumberFormat="1" applyFont="1" applyFill="1" applyBorder="1"/>
    <xf numFmtId="9" fontId="0" fillId="0" borderId="0" xfId="2" applyFont="1"/>
    <xf numFmtId="9" fontId="0" fillId="0" borderId="0" xfId="0" applyNumberFormat="1"/>
    <xf numFmtId="9" fontId="1" fillId="3" borderId="0" xfId="2" applyFont="1" applyFill="1"/>
    <xf numFmtId="9" fontId="1" fillId="3" borderId="0" xfId="2" applyFont="1" applyFill="1" applyAlignment="1">
      <alignment horizontal="center"/>
    </xf>
    <xf numFmtId="9" fontId="0" fillId="0" borderId="0" xfId="2" applyFont="1" applyAlignment="1">
      <alignment horizontal="center"/>
    </xf>
    <xf numFmtId="9" fontId="1" fillId="2" borderId="2" xfId="2" applyFont="1" applyFill="1" applyBorder="1" applyAlignment="1">
      <alignment horizontal="center"/>
    </xf>
    <xf numFmtId="9" fontId="3" fillId="0" borderId="0" xfId="2" applyFont="1" applyAlignment="1">
      <alignment horizontal="center"/>
    </xf>
    <xf numFmtId="9" fontId="0" fillId="0" borderId="0" xfId="2" applyFont="1" applyBorder="1"/>
    <xf numFmtId="9" fontId="1" fillId="3" borderId="0" xfId="2" applyFont="1" applyFill="1" applyBorder="1"/>
    <xf numFmtId="9" fontId="3" fillId="0" borderId="0" xfId="2" applyFont="1" applyBorder="1"/>
    <xf numFmtId="41" fontId="0" fillId="0" borderId="0" xfId="1" applyFont="1"/>
    <xf numFmtId="9" fontId="1" fillId="3" borderId="3" xfId="2" applyFont="1" applyFill="1" applyBorder="1" applyAlignment="1">
      <alignment horizontal="center"/>
    </xf>
    <xf numFmtId="9" fontId="4" fillId="3" borderId="0" xfId="2" applyFont="1" applyFill="1" applyAlignment="1">
      <alignment horizontal="center"/>
    </xf>
    <xf numFmtId="0" fontId="0" fillId="0" borderId="1" xfId="0" applyBorder="1" applyAlignment="1">
      <alignment horizontal="left"/>
    </xf>
    <xf numFmtId="0" fontId="1" fillId="3" borderId="0" xfId="0" applyFont="1" applyFill="1"/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3">
    <cellStyle name="Comma [0]" xfId="1" builtinId="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9689F-90F8-4E58-A9B2-245724FAB6F4}">
  <dimension ref="A2:J73"/>
  <sheetViews>
    <sheetView tabSelected="1" workbookViewId="0">
      <selection activeCell="F3" sqref="F3"/>
    </sheetView>
  </sheetViews>
  <sheetFormatPr defaultRowHeight="14.5" x14ac:dyDescent="0.35"/>
  <cols>
    <col min="1" max="1" width="12.453125" bestFit="1" customWidth="1"/>
    <col min="2" max="2" width="70.6328125" customWidth="1"/>
    <col min="3" max="8" width="12.6328125" customWidth="1"/>
    <col min="9" max="9" width="14.81640625" bestFit="1" customWidth="1"/>
    <col min="10" max="10" width="10.453125" bestFit="1" customWidth="1"/>
  </cols>
  <sheetData>
    <row r="2" spans="1:10" x14ac:dyDescent="0.35">
      <c r="A2" s="24" t="s">
        <v>102</v>
      </c>
      <c r="B2" s="1" t="s">
        <v>96</v>
      </c>
      <c r="C2" s="5" t="s">
        <v>71</v>
      </c>
      <c r="D2" s="5" t="s">
        <v>55</v>
      </c>
      <c r="E2" s="5" t="s">
        <v>56</v>
      </c>
      <c r="F2" s="5" t="s">
        <v>97</v>
      </c>
      <c r="G2" s="6" t="s">
        <v>98</v>
      </c>
      <c r="H2" s="6" t="s">
        <v>99</v>
      </c>
      <c r="I2" s="6" t="s">
        <v>101</v>
      </c>
      <c r="J2" s="12" t="s">
        <v>100</v>
      </c>
    </row>
    <row r="3" spans="1:10" x14ac:dyDescent="0.35">
      <c r="A3" s="23" t="s">
        <v>0</v>
      </c>
      <c r="B3" s="4" t="s">
        <v>5</v>
      </c>
      <c r="C3" s="2">
        <v>12096000</v>
      </c>
      <c r="D3" s="2">
        <v>18144000</v>
      </c>
      <c r="E3" s="2">
        <v>27072000</v>
      </c>
      <c r="F3" s="2">
        <v>40770000</v>
      </c>
      <c r="G3" s="2">
        <f t="shared" ref="G3:G32" si="0">(F3/12)*8</f>
        <v>27180000</v>
      </c>
      <c r="H3" s="2">
        <v>40770000</v>
      </c>
      <c r="I3" s="2">
        <f t="shared" ref="I3:I63" si="1">G3-H3</f>
        <v>-13590000</v>
      </c>
      <c r="J3" s="14">
        <v>0.49934917820556118</v>
      </c>
    </row>
    <row r="4" spans="1:10" x14ac:dyDescent="0.35">
      <c r="A4" s="23" t="s">
        <v>0</v>
      </c>
      <c r="B4" s="4" t="s">
        <v>6</v>
      </c>
      <c r="C4" s="2">
        <v>19152000</v>
      </c>
      <c r="D4" s="2">
        <v>30324000</v>
      </c>
      <c r="E4" s="2">
        <v>26040000</v>
      </c>
      <c r="F4" s="2">
        <v>32238000</v>
      </c>
      <c r="G4" s="2">
        <f t="shared" si="0"/>
        <v>21492000</v>
      </c>
      <c r="H4" s="2">
        <v>33852000</v>
      </c>
      <c r="I4" s="2">
        <f t="shared" si="1"/>
        <v>-12360000</v>
      </c>
      <c r="J4" s="14">
        <v>0.22669250942863664</v>
      </c>
    </row>
    <row r="5" spans="1:10" x14ac:dyDescent="0.35">
      <c r="A5" s="23" t="s">
        <v>0</v>
      </c>
      <c r="B5" s="4" t="s">
        <v>7</v>
      </c>
      <c r="C5" s="2">
        <v>0</v>
      </c>
      <c r="D5" s="2">
        <v>0</v>
      </c>
      <c r="E5" s="2">
        <v>0</v>
      </c>
      <c r="F5" s="2">
        <v>40368000</v>
      </c>
      <c r="G5" s="2">
        <f t="shared" si="0"/>
        <v>26912000</v>
      </c>
      <c r="H5" s="2">
        <v>40368000</v>
      </c>
      <c r="I5" s="2">
        <f t="shared" si="1"/>
        <v>-13456000</v>
      </c>
      <c r="J5" s="14">
        <v>0.33333333333333331</v>
      </c>
    </row>
    <row r="6" spans="1:10" x14ac:dyDescent="0.35">
      <c r="A6" s="23" t="s">
        <v>0</v>
      </c>
      <c r="B6" s="4" t="s">
        <v>57</v>
      </c>
      <c r="C6" s="2">
        <v>4248000</v>
      </c>
      <c r="D6" s="2">
        <v>4248000</v>
      </c>
      <c r="E6" s="2">
        <v>4248000</v>
      </c>
      <c r="F6" s="2">
        <v>0</v>
      </c>
      <c r="G6" s="2">
        <f t="shared" si="0"/>
        <v>0</v>
      </c>
      <c r="H6" s="2">
        <v>5522400</v>
      </c>
      <c r="I6" s="2">
        <f t="shared" si="1"/>
        <v>-5522400</v>
      </c>
      <c r="J6" s="16">
        <v>-0.33333333333333331</v>
      </c>
    </row>
    <row r="7" spans="1:10" x14ac:dyDescent="0.35">
      <c r="A7" s="23" t="s">
        <v>0</v>
      </c>
      <c r="B7" s="4" t="s">
        <v>8</v>
      </c>
      <c r="C7" s="2">
        <v>0</v>
      </c>
      <c r="D7" s="2">
        <v>18540000</v>
      </c>
      <c r="E7" s="2">
        <f>119424000+3708000</f>
        <v>123132000</v>
      </c>
      <c r="F7" s="2">
        <v>143442000</v>
      </c>
      <c r="G7" s="2">
        <f t="shared" si="0"/>
        <v>95628000</v>
      </c>
      <c r="H7" s="2">
        <v>160071600</v>
      </c>
      <c r="I7" s="2">
        <f t="shared" si="1"/>
        <v>-64443600</v>
      </c>
      <c r="J7" s="14">
        <v>1.9354562951202314</v>
      </c>
    </row>
    <row r="8" spans="1:10" x14ac:dyDescent="0.35">
      <c r="A8" s="23" t="s">
        <v>0</v>
      </c>
      <c r="B8" s="4" t="s">
        <v>9</v>
      </c>
      <c r="C8" s="2">
        <v>5940000</v>
      </c>
      <c r="D8" s="2">
        <v>9504000</v>
      </c>
      <c r="E8" s="2">
        <f>13200000+2376000</f>
        <v>15576000</v>
      </c>
      <c r="F8" s="2">
        <v>12006000</v>
      </c>
      <c r="G8" s="2">
        <f t="shared" si="0"/>
        <v>8004000</v>
      </c>
      <c r="H8" s="2">
        <v>20248800</v>
      </c>
      <c r="I8" s="2">
        <f t="shared" si="1"/>
        <v>-12244800</v>
      </c>
      <c r="J8" s="14">
        <v>0.33656337385150947</v>
      </c>
    </row>
    <row r="9" spans="1:10" x14ac:dyDescent="0.35">
      <c r="A9" s="23" t="s">
        <v>0</v>
      </c>
      <c r="B9" s="4" t="s">
        <v>10</v>
      </c>
      <c r="C9" s="2">
        <v>15340000</v>
      </c>
      <c r="D9" s="2">
        <v>18408000</v>
      </c>
      <c r="E9" s="2">
        <v>7080000</v>
      </c>
      <c r="F9" s="2">
        <v>12078000</v>
      </c>
      <c r="G9" s="2">
        <f t="shared" si="0"/>
        <v>8052000</v>
      </c>
      <c r="H9" s="2">
        <v>12078000</v>
      </c>
      <c r="I9" s="2">
        <f t="shared" si="1"/>
        <v>-4026000</v>
      </c>
      <c r="J9" s="14">
        <v>9.6849196001738358E-2</v>
      </c>
    </row>
    <row r="10" spans="1:10" x14ac:dyDescent="0.35">
      <c r="A10" s="23" t="s">
        <v>0</v>
      </c>
      <c r="B10" s="4" t="s">
        <v>11</v>
      </c>
      <c r="C10" s="2">
        <v>17136000</v>
      </c>
      <c r="D10" s="2">
        <v>0</v>
      </c>
      <c r="E10" s="2">
        <v>11424000</v>
      </c>
      <c r="F10" s="2">
        <v>9684000</v>
      </c>
      <c r="G10" s="2">
        <f t="shared" si="0"/>
        <v>6456000</v>
      </c>
      <c r="H10" s="2">
        <v>14851200</v>
      </c>
      <c r="I10" s="2">
        <f t="shared" si="1"/>
        <v>-8395200</v>
      </c>
      <c r="J10" s="16">
        <v>-5.0770308123249307E-2</v>
      </c>
    </row>
    <row r="11" spans="1:10" x14ac:dyDescent="0.35">
      <c r="A11" s="23" t="s">
        <v>0</v>
      </c>
      <c r="B11" s="4" t="s">
        <v>59</v>
      </c>
      <c r="C11" s="2">
        <v>2028000</v>
      </c>
      <c r="D11" s="2">
        <v>0</v>
      </c>
      <c r="E11" s="2">
        <v>0</v>
      </c>
      <c r="F11" s="2">
        <v>0</v>
      </c>
      <c r="G11" s="2">
        <f t="shared" si="0"/>
        <v>0</v>
      </c>
      <c r="H11" s="2">
        <v>0</v>
      </c>
      <c r="I11" s="2">
        <f t="shared" si="1"/>
        <v>0</v>
      </c>
      <c r="J11" s="16">
        <v>-0.33333333333333331</v>
      </c>
    </row>
    <row r="12" spans="1:10" x14ac:dyDescent="0.35">
      <c r="A12" s="23" t="s">
        <v>0</v>
      </c>
      <c r="B12" s="4" t="s">
        <v>12</v>
      </c>
      <c r="C12" s="2">
        <v>20160000</v>
      </c>
      <c r="D12" s="2">
        <v>46368000</v>
      </c>
      <c r="E12" s="2">
        <f>34488000+4032000</f>
        <v>38520000</v>
      </c>
      <c r="F12" s="2">
        <v>50508000</v>
      </c>
      <c r="G12" s="2">
        <f t="shared" si="0"/>
        <v>33672000</v>
      </c>
      <c r="H12" s="2">
        <v>50508000</v>
      </c>
      <c r="I12" s="2">
        <f t="shared" si="1"/>
        <v>-16836000</v>
      </c>
      <c r="J12" s="14">
        <v>0.48065343162864488</v>
      </c>
    </row>
    <row r="13" spans="1:10" x14ac:dyDescent="0.35">
      <c r="A13" s="23" t="s">
        <v>0</v>
      </c>
      <c r="B13" s="4" t="s">
        <v>13</v>
      </c>
      <c r="C13" s="2">
        <v>0</v>
      </c>
      <c r="D13" s="2">
        <v>0</v>
      </c>
      <c r="E13" s="2">
        <v>4032000</v>
      </c>
      <c r="F13" s="2">
        <v>13392000</v>
      </c>
      <c r="G13" s="2">
        <f t="shared" si="0"/>
        <v>8928000</v>
      </c>
      <c r="H13" s="2">
        <v>13392000</v>
      </c>
      <c r="I13" s="2">
        <f t="shared" si="1"/>
        <v>-4464000</v>
      </c>
      <c r="J13" s="14">
        <v>1.1071428571428572</v>
      </c>
    </row>
    <row r="14" spans="1:10" x14ac:dyDescent="0.35">
      <c r="A14" s="23" t="s">
        <v>0</v>
      </c>
      <c r="B14" s="4" t="s">
        <v>14</v>
      </c>
      <c r="C14" s="2">
        <v>32256000</v>
      </c>
      <c r="D14" s="2">
        <v>33768000</v>
      </c>
      <c r="E14" s="2">
        <v>64488000</v>
      </c>
      <c r="F14" s="2">
        <v>97452000</v>
      </c>
      <c r="G14" s="2">
        <f t="shared" si="0"/>
        <v>64968000</v>
      </c>
      <c r="H14" s="2">
        <v>97452000</v>
      </c>
      <c r="I14" s="2">
        <f t="shared" si="1"/>
        <v>-32484000</v>
      </c>
      <c r="J14" s="14">
        <v>0.48925896567413701</v>
      </c>
    </row>
    <row r="15" spans="1:10" x14ac:dyDescent="0.35">
      <c r="A15" s="23" t="s">
        <v>0</v>
      </c>
      <c r="B15" s="4" t="s">
        <v>15</v>
      </c>
      <c r="C15" s="2">
        <v>0</v>
      </c>
      <c r="D15" s="2">
        <v>0</v>
      </c>
      <c r="E15" s="2">
        <v>20592000</v>
      </c>
      <c r="F15" s="2">
        <v>40176000</v>
      </c>
      <c r="G15" s="2">
        <f t="shared" si="0"/>
        <v>26784000</v>
      </c>
      <c r="H15" s="2">
        <v>40176000</v>
      </c>
      <c r="I15" s="2">
        <f t="shared" si="1"/>
        <v>-13392000</v>
      </c>
      <c r="J15" s="14">
        <v>0.65034965034965031</v>
      </c>
    </row>
    <row r="16" spans="1:10" x14ac:dyDescent="0.35">
      <c r="A16" s="23" t="s">
        <v>0</v>
      </c>
      <c r="B16" s="4" t="s">
        <v>16</v>
      </c>
      <c r="C16" s="2">
        <v>46440000</v>
      </c>
      <c r="D16" s="2">
        <v>30960000</v>
      </c>
      <c r="E16" s="2">
        <f>28932000+2580000</f>
        <v>31512000</v>
      </c>
      <c r="F16" s="2">
        <v>25938000</v>
      </c>
      <c r="G16" s="2">
        <f t="shared" si="0"/>
        <v>17292000</v>
      </c>
      <c r="H16" s="2">
        <v>40965600</v>
      </c>
      <c r="I16" s="2">
        <f t="shared" si="1"/>
        <v>-23673600</v>
      </c>
      <c r="J16" s="16">
        <v>-0.16412962405363971</v>
      </c>
    </row>
    <row r="17" spans="1:10" x14ac:dyDescent="0.35">
      <c r="A17" s="23" t="s">
        <v>0</v>
      </c>
      <c r="B17" s="4" t="s">
        <v>17</v>
      </c>
      <c r="C17" s="2">
        <v>212850000</v>
      </c>
      <c r="D17" s="2">
        <v>283800000</v>
      </c>
      <c r="E17" s="2">
        <f>186864000+5160000</f>
        <v>192024000</v>
      </c>
      <c r="F17" s="2">
        <v>261486000</v>
      </c>
      <c r="G17" s="2">
        <f t="shared" si="0"/>
        <v>174324000</v>
      </c>
      <c r="H17" s="2">
        <v>261486000</v>
      </c>
      <c r="I17" s="2">
        <f t="shared" si="1"/>
        <v>-87162000</v>
      </c>
      <c r="J17" s="14">
        <v>0.12389556749380952</v>
      </c>
    </row>
    <row r="18" spans="1:10" x14ac:dyDescent="0.35">
      <c r="A18" s="23" t="s">
        <v>0</v>
      </c>
      <c r="B18" s="4" t="s">
        <v>18</v>
      </c>
      <c r="C18" s="2">
        <v>15264000</v>
      </c>
      <c r="D18" s="2">
        <v>30051000</v>
      </c>
      <c r="E18" s="2">
        <v>52128000</v>
      </c>
      <c r="F18" s="2">
        <v>98052000</v>
      </c>
      <c r="G18" s="2">
        <f t="shared" si="0"/>
        <v>65368000</v>
      </c>
      <c r="H18" s="2">
        <v>98052000</v>
      </c>
      <c r="I18" s="2">
        <f t="shared" si="1"/>
        <v>-32684000</v>
      </c>
      <c r="J18" s="14">
        <v>0.86146212005888323</v>
      </c>
    </row>
    <row r="19" spans="1:10" x14ac:dyDescent="0.35">
      <c r="A19" s="23" t="s">
        <v>0</v>
      </c>
      <c r="B19" s="4" t="s">
        <v>19</v>
      </c>
      <c r="C19" s="2">
        <v>167796000</v>
      </c>
      <c r="D19" s="2">
        <v>443128000</v>
      </c>
      <c r="E19" s="2">
        <f>333660000+18528000</f>
        <v>352188000</v>
      </c>
      <c r="F19" s="2">
        <v>527580000</v>
      </c>
      <c r="G19" s="2">
        <f t="shared" si="0"/>
        <v>351720000</v>
      </c>
      <c r="H19" s="2">
        <v>527580000</v>
      </c>
      <c r="I19" s="2">
        <f t="shared" si="1"/>
        <v>-175860000</v>
      </c>
      <c r="J19" s="14">
        <v>0.64455243927181383</v>
      </c>
    </row>
    <row r="20" spans="1:10" x14ac:dyDescent="0.35">
      <c r="A20" s="23" t="s">
        <v>0</v>
      </c>
      <c r="B20" s="4" t="s">
        <v>20</v>
      </c>
      <c r="C20" s="2">
        <v>181810200</v>
      </c>
      <c r="D20" s="2">
        <v>360680000</v>
      </c>
      <c r="E20" s="2">
        <f>383880000+9144000</f>
        <v>393024000</v>
      </c>
      <c r="F20" s="2">
        <v>454942500</v>
      </c>
      <c r="G20" s="2">
        <f t="shared" si="0"/>
        <v>303295000</v>
      </c>
      <c r="H20" s="2">
        <v>510931200</v>
      </c>
      <c r="I20" s="2">
        <f t="shared" si="1"/>
        <v>-207636200</v>
      </c>
      <c r="J20" s="14">
        <v>0.41034865411694299</v>
      </c>
    </row>
    <row r="21" spans="1:10" x14ac:dyDescent="0.35">
      <c r="A21" s="23" t="s">
        <v>0</v>
      </c>
      <c r="B21" s="4" t="s">
        <v>21</v>
      </c>
      <c r="C21" s="2">
        <v>32424000</v>
      </c>
      <c r="D21" s="2">
        <v>25476000</v>
      </c>
      <c r="E21" s="2">
        <v>25728000</v>
      </c>
      <c r="F21" s="2">
        <v>74052000</v>
      </c>
      <c r="G21" s="2">
        <f t="shared" si="0"/>
        <v>49368000</v>
      </c>
      <c r="H21" s="2">
        <v>74052000</v>
      </c>
      <c r="I21" s="2">
        <f t="shared" si="1"/>
        <v>-24684000</v>
      </c>
      <c r="J21" s="14">
        <v>0.5579569579429412</v>
      </c>
    </row>
    <row r="22" spans="1:10" x14ac:dyDescent="0.35">
      <c r="A22" s="23" t="s">
        <v>0</v>
      </c>
      <c r="B22" s="4" t="s">
        <v>22</v>
      </c>
      <c r="C22" s="2">
        <v>61128000</v>
      </c>
      <c r="D22" s="2">
        <v>110532000</v>
      </c>
      <c r="E22" s="2">
        <f>64188000+1812000</f>
        <v>66000000</v>
      </c>
      <c r="F22" s="2">
        <v>141876000</v>
      </c>
      <c r="G22" s="2">
        <f t="shared" si="0"/>
        <v>94584000</v>
      </c>
      <c r="H22" s="2">
        <v>141876000</v>
      </c>
      <c r="I22" s="2">
        <f t="shared" si="1"/>
        <v>-47292000</v>
      </c>
      <c r="J22" s="14">
        <v>0.51831808146281366</v>
      </c>
    </row>
    <row r="23" spans="1:10" x14ac:dyDescent="0.35">
      <c r="A23" s="23" t="s">
        <v>0</v>
      </c>
      <c r="B23" s="4" t="s">
        <v>23</v>
      </c>
      <c r="C23" s="2">
        <v>3624000</v>
      </c>
      <c r="D23" s="2">
        <v>5436000</v>
      </c>
      <c r="E23" s="2">
        <v>11064000</v>
      </c>
      <c r="F23" s="2">
        <v>15084000</v>
      </c>
      <c r="G23" s="2">
        <f t="shared" si="0"/>
        <v>10056000</v>
      </c>
      <c r="H23" s="2">
        <v>15084000</v>
      </c>
      <c r="I23" s="2">
        <f t="shared" si="1"/>
        <v>-5028000</v>
      </c>
      <c r="J23" s="14">
        <v>0.63288688409718141</v>
      </c>
    </row>
    <row r="24" spans="1:10" x14ac:dyDescent="0.35">
      <c r="A24" s="23" t="s">
        <v>0</v>
      </c>
      <c r="B24" s="4" t="s">
        <v>24</v>
      </c>
      <c r="C24" s="2">
        <v>58988400</v>
      </c>
      <c r="D24" s="2">
        <v>83448000</v>
      </c>
      <c r="E24" s="2">
        <v>73608000</v>
      </c>
      <c r="F24" s="2">
        <v>69732000</v>
      </c>
      <c r="G24" s="2">
        <f t="shared" si="0"/>
        <v>46488000</v>
      </c>
      <c r="H24" s="2">
        <v>95690400</v>
      </c>
      <c r="I24" s="2">
        <f t="shared" si="1"/>
        <v>-49202400</v>
      </c>
      <c r="J24" s="14">
        <v>8.1358650364273075E-2</v>
      </c>
    </row>
    <row r="25" spans="1:10" x14ac:dyDescent="0.35">
      <c r="A25" s="23" t="s">
        <v>0</v>
      </c>
      <c r="B25" s="4" t="s">
        <v>25</v>
      </c>
      <c r="C25" s="2">
        <v>96266000</v>
      </c>
      <c r="D25" s="2">
        <v>153670000</v>
      </c>
      <c r="E25" s="2">
        <f>58224000+6096000</f>
        <v>64320000</v>
      </c>
      <c r="F25" s="2">
        <v>75600000</v>
      </c>
      <c r="G25" s="2">
        <f t="shared" si="0"/>
        <v>50400000</v>
      </c>
      <c r="H25" s="2">
        <v>83616000</v>
      </c>
      <c r="I25" s="2">
        <f t="shared" si="1"/>
        <v>-33216000</v>
      </c>
      <c r="J25" s="14">
        <v>6.3412817757194137E-2</v>
      </c>
    </row>
    <row r="26" spans="1:10" x14ac:dyDescent="0.35">
      <c r="A26" s="23" t="s">
        <v>1</v>
      </c>
      <c r="B26" s="4" t="s">
        <v>88</v>
      </c>
      <c r="C26" s="2">
        <v>586800</v>
      </c>
      <c r="D26" s="2">
        <v>0</v>
      </c>
      <c r="E26" s="2">
        <v>0</v>
      </c>
      <c r="F26" s="2">
        <v>0</v>
      </c>
      <c r="G26" s="2">
        <f t="shared" si="0"/>
        <v>0</v>
      </c>
      <c r="H26" s="2">
        <v>0</v>
      </c>
      <c r="I26" s="2">
        <f t="shared" si="1"/>
        <v>0</v>
      </c>
      <c r="J26" s="16">
        <v>-0.33333333333333331</v>
      </c>
    </row>
    <row r="27" spans="1:10" x14ac:dyDescent="0.35">
      <c r="A27" s="23" t="s">
        <v>1</v>
      </c>
      <c r="B27" s="4" t="s">
        <v>89</v>
      </c>
      <c r="C27" s="2">
        <v>1173600</v>
      </c>
      <c r="D27" s="2">
        <v>0</v>
      </c>
      <c r="E27" s="2">
        <v>0</v>
      </c>
      <c r="F27" s="2">
        <v>0</v>
      </c>
      <c r="G27" s="2">
        <f t="shared" si="0"/>
        <v>0</v>
      </c>
      <c r="H27" s="2">
        <v>0</v>
      </c>
      <c r="I27" s="2">
        <f t="shared" si="1"/>
        <v>0</v>
      </c>
      <c r="J27" s="16">
        <v>-0.33333333333333331</v>
      </c>
    </row>
    <row r="28" spans="1:10" x14ac:dyDescent="0.35">
      <c r="A28" s="23" t="s">
        <v>1</v>
      </c>
      <c r="B28" s="4" t="s">
        <v>26</v>
      </c>
      <c r="C28" s="2">
        <v>0</v>
      </c>
      <c r="D28" s="2">
        <v>586800</v>
      </c>
      <c r="E28" s="2">
        <v>8215200</v>
      </c>
      <c r="F28" s="2">
        <v>10562400</v>
      </c>
      <c r="G28" s="2">
        <f t="shared" si="0"/>
        <v>7041600</v>
      </c>
      <c r="H28" s="2">
        <v>10679760</v>
      </c>
      <c r="I28" s="2">
        <f t="shared" si="1"/>
        <v>-3638160</v>
      </c>
      <c r="J28" s="14">
        <v>4.7619047619047619</v>
      </c>
    </row>
    <row r="29" spans="1:10" x14ac:dyDescent="0.35">
      <c r="A29" s="23" t="s">
        <v>1</v>
      </c>
      <c r="B29" s="4" t="s">
        <v>27</v>
      </c>
      <c r="C29" s="2">
        <v>0</v>
      </c>
      <c r="D29" s="2">
        <v>4214100</v>
      </c>
      <c r="E29" s="2">
        <v>4597200</v>
      </c>
      <c r="F29" s="2">
        <v>6895800</v>
      </c>
      <c r="G29" s="2">
        <f t="shared" si="0"/>
        <v>4597200</v>
      </c>
      <c r="H29" s="2">
        <v>6895800</v>
      </c>
      <c r="I29" s="2">
        <f t="shared" si="1"/>
        <v>-2298600</v>
      </c>
      <c r="J29" s="14">
        <v>0.53030303030303028</v>
      </c>
    </row>
    <row r="30" spans="1:10" x14ac:dyDescent="0.35">
      <c r="A30" s="23" t="s">
        <v>1</v>
      </c>
      <c r="B30" s="4" t="s">
        <v>28</v>
      </c>
      <c r="C30" s="2">
        <v>0</v>
      </c>
      <c r="D30" s="2">
        <v>586800</v>
      </c>
      <c r="E30" s="2">
        <v>1173600</v>
      </c>
      <c r="F30" s="2">
        <v>1760400</v>
      </c>
      <c r="G30" s="2">
        <f t="shared" si="0"/>
        <v>1173600</v>
      </c>
      <c r="H30" s="2">
        <v>1760400</v>
      </c>
      <c r="I30" s="2">
        <f t="shared" si="1"/>
        <v>-586800</v>
      </c>
      <c r="J30" s="14">
        <v>0.83333333333333337</v>
      </c>
    </row>
    <row r="31" spans="1:10" x14ac:dyDescent="0.35">
      <c r="A31" s="23" t="s">
        <v>1</v>
      </c>
      <c r="B31" s="4" t="s">
        <v>29</v>
      </c>
      <c r="C31" s="2">
        <v>0</v>
      </c>
      <c r="D31" s="2">
        <v>3064800</v>
      </c>
      <c r="E31" s="2">
        <v>4597200</v>
      </c>
      <c r="F31" s="2">
        <v>1149300</v>
      </c>
      <c r="G31" s="2">
        <f t="shared" si="0"/>
        <v>766200</v>
      </c>
      <c r="H31" s="2">
        <v>5976360</v>
      </c>
      <c r="I31" s="2">
        <f t="shared" si="1"/>
        <v>-5210160</v>
      </c>
      <c r="J31" s="14">
        <v>0.25</v>
      </c>
    </row>
    <row r="32" spans="1:10" x14ac:dyDescent="0.35">
      <c r="A32" s="23" t="s">
        <v>1</v>
      </c>
      <c r="B32" s="4" t="s">
        <v>90</v>
      </c>
      <c r="C32" s="2">
        <v>0</v>
      </c>
      <c r="D32" s="2">
        <v>766200</v>
      </c>
      <c r="E32" s="2">
        <v>766200</v>
      </c>
      <c r="F32" s="2">
        <v>0</v>
      </c>
      <c r="G32" s="2">
        <f t="shared" si="0"/>
        <v>0</v>
      </c>
      <c r="H32" s="2">
        <v>996060</v>
      </c>
      <c r="I32" s="2">
        <f t="shared" si="1"/>
        <v>-996060</v>
      </c>
      <c r="J32" s="14">
        <v>0</v>
      </c>
    </row>
    <row r="33" spans="1:10" x14ac:dyDescent="0.35">
      <c r="A33" s="23" t="s">
        <v>1</v>
      </c>
      <c r="B33" s="4" t="s">
        <v>30</v>
      </c>
      <c r="C33" s="2">
        <v>0</v>
      </c>
      <c r="D33" s="2">
        <v>586800</v>
      </c>
      <c r="E33" s="2">
        <f>8802000+586800</f>
        <v>9388800</v>
      </c>
      <c r="F33" s="2">
        <v>20244600</v>
      </c>
      <c r="G33" s="2">
        <f t="shared" ref="G33:G62" si="2">(F33/12)*8</f>
        <v>13496400</v>
      </c>
      <c r="H33" s="2">
        <v>20244600</v>
      </c>
      <c r="I33" s="2">
        <f t="shared" si="1"/>
        <v>-6748200</v>
      </c>
      <c r="J33" s="14">
        <v>5.71875</v>
      </c>
    </row>
    <row r="34" spans="1:10" x14ac:dyDescent="0.35">
      <c r="A34" s="23" t="s">
        <v>1</v>
      </c>
      <c r="B34" s="4" t="s">
        <v>73</v>
      </c>
      <c r="C34" s="2">
        <v>1173600</v>
      </c>
      <c r="D34" s="2">
        <v>586800</v>
      </c>
      <c r="E34" s="2">
        <v>0</v>
      </c>
      <c r="F34" s="2">
        <v>0</v>
      </c>
      <c r="G34" s="2">
        <f t="shared" si="2"/>
        <v>0</v>
      </c>
      <c r="H34" s="2">
        <v>0</v>
      </c>
      <c r="I34" s="2">
        <f t="shared" si="1"/>
        <v>0</v>
      </c>
      <c r="J34" s="16">
        <v>-0.5</v>
      </c>
    </row>
    <row r="35" spans="1:10" x14ac:dyDescent="0.35">
      <c r="A35" s="23" t="s">
        <v>1</v>
      </c>
      <c r="B35" s="4" t="s">
        <v>91</v>
      </c>
      <c r="C35" s="2">
        <v>586800</v>
      </c>
      <c r="D35" s="2">
        <v>1760400</v>
      </c>
      <c r="E35" s="2">
        <v>0</v>
      </c>
      <c r="F35" s="2">
        <v>0</v>
      </c>
      <c r="G35" s="2">
        <f t="shared" si="2"/>
        <v>0</v>
      </c>
      <c r="H35" s="2">
        <v>0</v>
      </c>
      <c r="I35" s="2">
        <f t="shared" si="1"/>
        <v>0</v>
      </c>
      <c r="J35" s="14">
        <v>0.33333333333333331</v>
      </c>
    </row>
    <row r="36" spans="1:10" x14ac:dyDescent="0.35">
      <c r="A36" s="23" t="s">
        <v>1</v>
      </c>
      <c r="B36" s="4" t="s">
        <v>74</v>
      </c>
      <c r="C36" s="2">
        <v>0</v>
      </c>
      <c r="D36" s="2">
        <v>2347200</v>
      </c>
      <c r="E36" s="2">
        <v>5281200</v>
      </c>
      <c r="F36" s="2">
        <v>0</v>
      </c>
      <c r="G36" s="2">
        <f t="shared" si="2"/>
        <v>0</v>
      </c>
      <c r="H36" s="2">
        <v>6865560</v>
      </c>
      <c r="I36" s="2">
        <f t="shared" si="1"/>
        <v>-6865560</v>
      </c>
      <c r="J36" s="14">
        <v>0.41666666666666669</v>
      </c>
    </row>
    <row r="37" spans="1:10" x14ac:dyDescent="0.35">
      <c r="A37" s="23" t="s">
        <v>2</v>
      </c>
      <c r="B37" s="4" t="s">
        <v>31</v>
      </c>
      <c r="C37" s="2">
        <v>43510800</v>
      </c>
      <c r="D37" s="2">
        <v>92786400</v>
      </c>
      <c r="E37" s="2">
        <v>45440400</v>
      </c>
      <c r="F37" s="2">
        <v>35902800</v>
      </c>
      <c r="G37" s="2">
        <f t="shared" si="2"/>
        <v>23935200</v>
      </c>
      <c r="H37" s="2">
        <v>59072520</v>
      </c>
      <c r="I37" s="2">
        <f t="shared" si="1"/>
        <v>-35137320</v>
      </c>
      <c r="J37" s="14">
        <v>0.13744332623992286</v>
      </c>
    </row>
    <row r="38" spans="1:10" x14ac:dyDescent="0.35">
      <c r="A38" s="23" t="s">
        <v>2</v>
      </c>
      <c r="B38" s="4" t="s">
        <v>60</v>
      </c>
      <c r="C38" s="2">
        <v>0</v>
      </c>
      <c r="D38" s="2">
        <v>9140800</v>
      </c>
      <c r="E38" s="2">
        <v>0</v>
      </c>
      <c r="F38" s="2">
        <v>0</v>
      </c>
      <c r="G38" s="2">
        <f t="shared" si="2"/>
        <v>0</v>
      </c>
      <c r="H38" s="2">
        <v>0</v>
      </c>
      <c r="I38" s="2">
        <f t="shared" si="1"/>
        <v>0</v>
      </c>
      <c r="J38" s="14">
        <v>0</v>
      </c>
    </row>
    <row r="39" spans="1:10" x14ac:dyDescent="0.35">
      <c r="A39" s="23" t="s">
        <v>2</v>
      </c>
      <c r="B39" s="4" t="s">
        <v>32</v>
      </c>
      <c r="C39" s="2">
        <v>32424000</v>
      </c>
      <c r="D39" s="2">
        <v>121666600</v>
      </c>
      <c r="E39" s="2">
        <v>73160400</v>
      </c>
      <c r="F39" s="2">
        <v>38455200</v>
      </c>
      <c r="G39" s="2">
        <f t="shared" si="2"/>
        <v>25636800</v>
      </c>
      <c r="H39" s="2">
        <v>95108520</v>
      </c>
      <c r="I39" s="2">
        <f t="shared" si="1"/>
        <v>-69471720</v>
      </c>
      <c r="J39" s="14">
        <v>0.62643658399491498</v>
      </c>
    </row>
    <row r="40" spans="1:10" x14ac:dyDescent="0.35">
      <c r="A40" s="23" t="s">
        <v>2</v>
      </c>
      <c r="B40" s="4" t="s">
        <v>33</v>
      </c>
      <c r="C40" s="2"/>
      <c r="D40" s="2">
        <v>6973200</v>
      </c>
      <c r="E40" s="2">
        <v>2324400</v>
      </c>
      <c r="F40" s="2">
        <v>7675200</v>
      </c>
      <c r="G40" s="2">
        <f t="shared" si="2"/>
        <v>5116800</v>
      </c>
      <c r="H40" s="2">
        <v>7675200</v>
      </c>
      <c r="I40" s="2">
        <f t="shared" si="1"/>
        <v>-2558400</v>
      </c>
      <c r="J40" s="14">
        <v>0.87844891871737507</v>
      </c>
    </row>
    <row r="41" spans="1:10" x14ac:dyDescent="0.35">
      <c r="A41" s="23" t="s">
        <v>2</v>
      </c>
      <c r="B41" s="4" t="s">
        <v>34</v>
      </c>
      <c r="C41" s="2">
        <v>12969600</v>
      </c>
      <c r="D41" s="2">
        <v>131559700</v>
      </c>
      <c r="E41" s="2">
        <v>71376000</v>
      </c>
      <c r="F41" s="2">
        <v>29615400</v>
      </c>
      <c r="G41" s="2">
        <f t="shared" si="2"/>
        <v>19743600</v>
      </c>
      <c r="H41" s="2">
        <v>92788800</v>
      </c>
      <c r="I41" s="2">
        <f t="shared" si="1"/>
        <v>-73045200</v>
      </c>
      <c r="J41" s="14">
        <v>2.7003851712836457</v>
      </c>
    </row>
    <row r="42" spans="1:10" x14ac:dyDescent="0.35">
      <c r="A42" s="23" t="s">
        <v>2</v>
      </c>
      <c r="B42" s="4" t="s">
        <v>35</v>
      </c>
      <c r="C42" s="2">
        <v>75762000</v>
      </c>
      <c r="D42" s="2">
        <v>139341000</v>
      </c>
      <c r="E42" s="2">
        <f>156448000+8922000</f>
        <v>165370000</v>
      </c>
      <c r="F42" s="2">
        <v>169300800</v>
      </c>
      <c r="G42" s="2">
        <f t="shared" si="2"/>
        <v>112867200</v>
      </c>
      <c r="H42" s="2">
        <v>214981000</v>
      </c>
      <c r="I42" s="2">
        <f t="shared" si="1"/>
        <v>-102113800</v>
      </c>
      <c r="J42" s="14">
        <v>0.34992141528202048</v>
      </c>
    </row>
    <row r="43" spans="1:10" x14ac:dyDescent="0.35">
      <c r="A43" s="23" t="s">
        <v>2</v>
      </c>
      <c r="B43" s="4" t="s">
        <v>92</v>
      </c>
      <c r="C43" s="2">
        <v>3549600</v>
      </c>
      <c r="D43" s="2">
        <v>0</v>
      </c>
      <c r="E43" s="2">
        <v>0</v>
      </c>
      <c r="F43" s="2">
        <v>0</v>
      </c>
      <c r="G43" s="2">
        <f t="shared" si="2"/>
        <v>0</v>
      </c>
      <c r="H43" s="2">
        <v>0</v>
      </c>
      <c r="I43" s="2">
        <f t="shared" si="1"/>
        <v>0</v>
      </c>
      <c r="J43" s="16">
        <v>-0.33333333333333331</v>
      </c>
    </row>
    <row r="44" spans="1:10" x14ac:dyDescent="0.35">
      <c r="A44" s="23" t="s">
        <v>2</v>
      </c>
      <c r="B44" s="4" t="s">
        <v>36</v>
      </c>
      <c r="C44" s="2">
        <v>0</v>
      </c>
      <c r="D44" s="2">
        <v>0</v>
      </c>
      <c r="E44" s="2">
        <v>2938800</v>
      </c>
      <c r="F44" s="2">
        <v>4849200</v>
      </c>
      <c r="G44" s="2">
        <f t="shared" si="2"/>
        <v>3232800</v>
      </c>
      <c r="H44" s="2">
        <v>4849200</v>
      </c>
      <c r="I44" s="2">
        <f t="shared" si="1"/>
        <v>-1616400</v>
      </c>
      <c r="J44" s="14">
        <v>0.55002041649652922</v>
      </c>
    </row>
    <row r="45" spans="1:10" x14ac:dyDescent="0.35">
      <c r="A45" s="23" t="s">
        <v>2</v>
      </c>
      <c r="B45" s="4" t="s">
        <v>37</v>
      </c>
      <c r="C45" s="2">
        <v>0</v>
      </c>
      <c r="D45" s="2">
        <v>9589200</v>
      </c>
      <c r="E45" s="2">
        <v>11918400</v>
      </c>
      <c r="F45" s="2">
        <v>9840600</v>
      </c>
      <c r="G45" s="2">
        <f t="shared" si="2"/>
        <v>6560400</v>
      </c>
      <c r="H45" s="2">
        <v>15493920</v>
      </c>
      <c r="I45" s="2">
        <f t="shared" si="1"/>
        <v>-8933520</v>
      </c>
      <c r="J45" s="14">
        <v>0.3561875930901523</v>
      </c>
    </row>
    <row r="46" spans="1:10" x14ac:dyDescent="0.35">
      <c r="A46" s="23" t="s">
        <v>2</v>
      </c>
      <c r="B46" s="4" t="s">
        <v>38</v>
      </c>
      <c r="C46" s="2">
        <v>5324400</v>
      </c>
      <c r="D46" s="2">
        <v>26456400</v>
      </c>
      <c r="E46" s="2">
        <v>35755200</v>
      </c>
      <c r="F46" s="2">
        <v>35973000</v>
      </c>
      <c r="G46" s="2">
        <f t="shared" si="2"/>
        <v>23982000</v>
      </c>
      <c r="H46" s="2">
        <v>46481760</v>
      </c>
      <c r="I46" s="2">
        <f t="shared" si="1"/>
        <v>-22499760</v>
      </c>
      <c r="J46" s="14">
        <v>1.4421552390007604</v>
      </c>
    </row>
    <row r="47" spans="1:10" x14ac:dyDescent="0.35">
      <c r="A47" s="23" t="s">
        <v>2</v>
      </c>
      <c r="B47" s="4" t="s">
        <v>39</v>
      </c>
      <c r="C47" s="2">
        <v>0</v>
      </c>
      <c r="D47" s="2">
        <v>0</v>
      </c>
      <c r="E47" s="2">
        <v>0</v>
      </c>
      <c r="F47" s="2">
        <v>13413600</v>
      </c>
      <c r="G47" s="2">
        <f t="shared" si="2"/>
        <v>8942400</v>
      </c>
      <c r="H47" s="2">
        <v>13413600</v>
      </c>
      <c r="I47" s="2">
        <f t="shared" si="1"/>
        <v>-4471200</v>
      </c>
      <c r="J47" s="14">
        <v>0.33333333333333331</v>
      </c>
    </row>
    <row r="48" spans="1:10" x14ac:dyDescent="0.35">
      <c r="A48" s="23" t="s">
        <v>2</v>
      </c>
      <c r="B48" s="4" t="s">
        <v>40</v>
      </c>
      <c r="C48" s="2">
        <v>0</v>
      </c>
      <c r="D48" s="2">
        <v>3081600</v>
      </c>
      <c r="E48" s="2">
        <v>5449200</v>
      </c>
      <c r="F48" s="2">
        <v>8575200</v>
      </c>
      <c r="G48" s="2">
        <f t="shared" si="2"/>
        <v>5716800</v>
      </c>
      <c r="H48" s="2">
        <v>8575200</v>
      </c>
      <c r="I48" s="2">
        <f t="shared" si="1"/>
        <v>-2858400</v>
      </c>
      <c r="J48" s="14">
        <v>0.78065478987684145</v>
      </c>
    </row>
    <row r="49" spans="1:10" x14ac:dyDescent="0.35">
      <c r="A49" s="23" t="s">
        <v>2</v>
      </c>
      <c r="B49" s="4" t="s">
        <v>41</v>
      </c>
      <c r="C49" s="2">
        <v>3168000</v>
      </c>
      <c r="D49" s="2">
        <v>8328000</v>
      </c>
      <c r="E49" s="2">
        <v>6292800</v>
      </c>
      <c r="F49" s="2">
        <v>2887200</v>
      </c>
      <c r="G49" s="2">
        <f t="shared" si="2"/>
        <v>1924800</v>
      </c>
      <c r="H49" s="2">
        <v>8180640</v>
      </c>
      <c r="I49" s="2">
        <f t="shared" si="1"/>
        <v>-6255840</v>
      </c>
      <c r="J49" s="14">
        <v>0.28107251465985045</v>
      </c>
    </row>
    <row r="50" spans="1:10" x14ac:dyDescent="0.35">
      <c r="A50" s="23" t="s">
        <v>3</v>
      </c>
      <c r="B50" s="4" t="s">
        <v>63</v>
      </c>
      <c r="C50" s="2">
        <v>910800</v>
      </c>
      <c r="D50" s="2">
        <v>1913400</v>
      </c>
      <c r="E50" s="2">
        <v>1002600</v>
      </c>
      <c r="F50" s="2">
        <v>0</v>
      </c>
      <c r="G50" s="2">
        <f t="shared" si="2"/>
        <v>0</v>
      </c>
      <c r="H50" s="2">
        <v>1303380</v>
      </c>
      <c r="I50" s="2">
        <f t="shared" si="1"/>
        <v>-1303380</v>
      </c>
      <c r="J50" s="16">
        <v>-0.12507359165709198</v>
      </c>
    </row>
    <row r="51" spans="1:10" x14ac:dyDescent="0.35">
      <c r="A51" s="23" t="s">
        <v>3</v>
      </c>
      <c r="B51" s="4" t="s">
        <v>65</v>
      </c>
      <c r="C51" s="2">
        <v>0</v>
      </c>
      <c r="D51" s="2">
        <v>1002600</v>
      </c>
      <c r="E51" s="2">
        <v>0</v>
      </c>
      <c r="F51" s="2">
        <v>0</v>
      </c>
      <c r="G51" s="2">
        <f t="shared" si="2"/>
        <v>0</v>
      </c>
      <c r="H51" s="2">
        <v>0</v>
      </c>
      <c r="I51" s="2">
        <f t="shared" si="1"/>
        <v>0</v>
      </c>
      <c r="J51" s="14">
        <v>0</v>
      </c>
    </row>
    <row r="52" spans="1:10" x14ac:dyDescent="0.35">
      <c r="A52" s="23" t="s">
        <v>3</v>
      </c>
      <c r="B52" s="4" t="s">
        <v>42</v>
      </c>
      <c r="C52" s="2">
        <v>0</v>
      </c>
      <c r="D52" s="2">
        <v>4449600</v>
      </c>
      <c r="E52" s="2">
        <v>2448000</v>
      </c>
      <c r="F52" s="2">
        <v>3672000</v>
      </c>
      <c r="G52" s="2">
        <f t="shared" si="2"/>
        <v>2448000</v>
      </c>
      <c r="H52" s="2">
        <v>3672000</v>
      </c>
      <c r="I52" s="2">
        <f t="shared" si="1"/>
        <v>-1224000</v>
      </c>
      <c r="J52" s="14">
        <v>0.35005393743257818</v>
      </c>
    </row>
    <row r="53" spans="1:10" x14ac:dyDescent="0.35">
      <c r="A53" s="23" t="s">
        <v>3</v>
      </c>
      <c r="B53" s="4" t="s">
        <v>93</v>
      </c>
      <c r="C53" s="2">
        <v>10560000</v>
      </c>
      <c r="D53" s="2">
        <v>8132400</v>
      </c>
      <c r="E53" s="2">
        <v>0</v>
      </c>
      <c r="F53" s="2">
        <v>0</v>
      </c>
      <c r="G53" s="2">
        <f t="shared" si="2"/>
        <v>0</v>
      </c>
      <c r="H53" s="2">
        <v>0</v>
      </c>
      <c r="I53" s="2">
        <f t="shared" si="1"/>
        <v>0</v>
      </c>
      <c r="J53" s="16">
        <v>-0.40996212121212122</v>
      </c>
    </row>
    <row r="54" spans="1:10" x14ac:dyDescent="0.35">
      <c r="A54" s="23" t="s">
        <v>3</v>
      </c>
      <c r="B54" s="4" t="s">
        <v>94</v>
      </c>
      <c r="C54" s="2">
        <v>1335600</v>
      </c>
      <c r="D54" s="2">
        <v>1335600</v>
      </c>
      <c r="E54" s="2">
        <v>0</v>
      </c>
      <c r="F54" s="2">
        <v>0</v>
      </c>
      <c r="G54" s="2">
        <f t="shared" si="2"/>
        <v>0</v>
      </c>
      <c r="H54" s="2">
        <v>0</v>
      </c>
      <c r="I54" s="2">
        <f t="shared" si="1"/>
        <v>0</v>
      </c>
      <c r="J54" s="16">
        <v>-0.33333333333333331</v>
      </c>
    </row>
    <row r="55" spans="1:10" x14ac:dyDescent="0.35">
      <c r="A55" s="23" t="s">
        <v>3</v>
      </c>
      <c r="B55" s="4" t="s">
        <v>43</v>
      </c>
      <c r="C55" s="2">
        <v>435600</v>
      </c>
      <c r="D55" s="2">
        <v>798000</v>
      </c>
      <c r="E55" s="2">
        <v>1680000</v>
      </c>
      <c r="F55" s="2">
        <v>529200</v>
      </c>
      <c r="G55" s="2">
        <f t="shared" si="2"/>
        <v>352800</v>
      </c>
      <c r="H55" s="2">
        <v>2184000</v>
      </c>
      <c r="I55" s="2">
        <f t="shared" si="1"/>
        <v>-1831200</v>
      </c>
      <c r="J55" s="14">
        <v>0.41740636025325012</v>
      </c>
    </row>
    <row r="56" spans="1:10" x14ac:dyDescent="0.35">
      <c r="A56" s="23" t="s">
        <v>3</v>
      </c>
      <c r="B56" s="4" t="s">
        <v>66</v>
      </c>
      <c r="C56" s="2">
        <v>489600</v>
      </c>
      <c r="D56" s="2">
        <v>1080000</v>
      </c>
      <c r="E56" s="2">
        <v>1350000</v>
      </c>
      <c r="F56" s="2">
        <v>0</v>
      </c>
      <c r="G56" s="2">
        <f t="shared" si="2"/>
        <v>0</v>
      </c>
      <c r="H56" s="2">
        <v>1755000</v>
      </c>
      <c r="I56" s="2">
        <f t="shared" si="1"/>
        <v>-1755000</v>
      </c>
      <c r="J56" s="14">
        <v>0.15196078431372553</v>
      </c>
    </row>
    <row r="57" spans="1:10" x14ac:dyDescent="0.35">
      <c r="A57" s="23" t="s">
        <v>3</v>
      </c>
      <c r="B57" s="4" t="s">
        <v>44</v>
      </c>
      <c r="C57" s="2">
        <v>10444800</v>
      </c>
      <c r="D57" s="2">
        <v>22710000</v>
      </c>
      <c r="E57" s="2">
        <f>10704000+186000</f>
        <v>10890000</v>
      </c>
      <c r="F57" s="2">
        <v>10611000</v>
      </c>
      <c r="G57" s="2">
        <f t="shared" si="2"/>
        <v>7074000</v>
      </c>
      <c r="H57" s="2">
        <v>14157000</v>
      </c>
      <c r="I57" s="2">
        <f t="shared" si="1"/>
        <v>-7083000</v>
      </c>
      <c r="J57" s="14">
        <v>0.20939742922870044</v>
      </c>
    </row>
    <row r="58" spans="1:10" x14ac:dyDescent="0.35">
      <c r="A58" s="23" t="s">
        <v>3</v>
      </c>
      <c r="B58" s="4" t="s">
        <v>45</v>
      </c>
      <c r="C58" s="2">
        <v>5335200</v>
      </c>
      <c r="D58" s="2">
        <v>9658800</v>
      </c>
      <c r="E58" s="2">
        <v>11138400</v>
      </c>
      <c r="F58" s="2">
        <v>10641600</v>
      </c>
      <c r="G58" s="2">
        <f t="shared" si="2"/>
        <v>7094400</v>
      </c>
      <c r="H58" s="2">
        <v>14479920</v>
      </c>
      <c r="I58" s="2">
        <f t="shared" si="1"/>
        <v>-7385520</v>
      </c>
      <c r="J58" s="14">
        <v>0.30632521264224838</v>
      </c>
    </row>
    <row r="59" spans="1:10" x14ac:dyDescent="0.35">
      <c r="A59" s="23" t="s">
        <v>3</v>
      </c>
      <c r="B59" s="4" t="s">
        <v>46</v>
      </c>
      <c r="C59" s="2">
        <v>355200</v>
      </c>
      <c r="D59" s="2">
        <v>0</v>
      </c>
      <c r="E59" s="2">
        <v>0</v>
      </c>
      <c r="F59" s="2">
        <v>662400</v>
      </c>
      <c r="G59" s="2">
        <f t="shared" si="2"/>
        <v>441600</v>
      </c>
      <c r="H59" s="2">
        <v>662400</v>
      </c>
      <c r="I59" s="2">
        <f t="shared" si="1"/>
        <v>-220800</v>
      </c>
      <c r="J59" s="14">
        <v>0</v>
      </c>
    </row>
    <row r="60" spans="1:10" x14ac:dyDescent="0.35">
      <c r="A60" s="23" t="s">
        <v>3</v>
      </c>
      <c r="B60" s="4" t="s">
        <v>47</v>
      </c>
      <c r="C60" s="2">
        <v>1119600</v>
      </c>
      <c r="D60" s="2">
        <v>4039200</v>
      </c>
      <c r="E60" s="2">
        <v>3418800</v>
      </c>
      <c r="F60" s="2">
        <v>3438000</v>
      </c>
      <c r="G60" s="2">
        <f t="shared" si="2"/>
        <v>2292000</v>
      </c>
      <c r="H60" s="2">
        <v>4444440</v>
      </c>
      <c r="I60" s="2">
        <f t="shared" si="1"/>
        <v>-2152440</v>
      </c>
      <c r="J60" s="14">
        <v>0.81991275872493963</v>
      </c>
    </row>
    <row r="61" spans="1:10" x14ac:dyDescent="0.35">
      <c r="A61" s="23" t="s">
        <v>3</v>
      </c>
      <c r="B61" s="4" t="s">
        <v>48</v>
      </c>
      <c r="C61" s="2">
        <v>213600</v>
      </c>
      <c r="D61" s="2">
        <v>1389600</v>
      </c>
      <c r="E61" s="2">
        <v>2427600</v>
      </c>
      <c r="F61" s="2">
        <v>4752000</v>
      </c>
      <c r="G61" s="2">
        <f t="shared" si="2"/>
        <v>3168000</v>
      </c>
      <c r="H61" s="2">
        <v>4752000</v>
      </c>
      <c r="I61" s="2">
        <f t="shared" si="1"/>
        <v>-1584000</v>
      </c>
      <c r="J61" s="14">
        <v>2.4033614676426249</v>
      </c>
    </row>
    <row r="62" spans="1:10" x14ac:dyDescent="0.35">
      <c r="A62" s="23" t="s">
        <v>3</v>
      </c>
      <c r="B62" s="4" t="s">
        <v>49</v>
      </c>
      <c r="C62" s="2">
        <v>0</v>
      </c>
      <c r="D62" s="2">
        <v>2220000</v>
      </c>
      <c r="E62" s="2">
        <f>9116900+720000</f>
        <v>9836900</v>
      </c>
      <c r="F62" s="2">
        <v>4566000</v>
      </c>
      <c r="G62" s="2">
        <f t="shared" si="2"/>
        <v>3044000</v>
      </c>
      <c r="H62" s="2">
        <v>12787970</v>
      </c>
      <c r="I62" s="2">
        <f t="shared" si="1"/>
        <v>-9743970</v>
      </c>
      <c r="J62" s="14">
        <v>1.2984022196316212</v>
      </c>
    </row>
    <row r="63" spans="1:10" x14ac:dyDescent="0.35">
      <c r="A63" s="23" t="s">
        <v>3</v>
      </c>
      <c r="B63" s="4" t="s">
        <v>50</v>
      </c>
      <c r="C63" s="2">
        <v>0</v>
      </c>
      <c r="D63" s="2">
        <v>1080000</v>
      </c>
      <c r="E63" s="2">
        <v>990500</v>
      </c>
      <c r="F63" s="2">
        <v>1487250</v>
      </c>
      <c r="G63" s="2">
        <f t="shared" ref="G63:G71" si="3">(F63/12)*8</f>
        <v>991500</v>
      </c>
      <c r="H63" s="2">
        <v>1487250</v>
      </c>
      <c r="I63" s="2">
        <f t="shared" si="1"/>
        <v>-495750</v>
      </c>
      <c r="J63" s="14">
        <v>0.47288133876767563</v>
      </c>
    </row>
    <row r="64" spans="1:10" x14ac:dyDescent="0.35">
      <c r="A64" s="23" t="s">
        <v>3</v>
      </c>
      <c r="B64" s="4" t="s">
        <v>51</v>
      </c>
      <c r="C64" s="2">
        <v>4656000</v>
      </c>
      <c r="D64" s="2">
        <v>7452000</v>
      </c>
      <c r="E64" s="2">
        <v>5380800</v>
      </c>
      <c r="F64" s="2">
        <v>4228200</v>
      </c>
      <c r="G64" s="2">
        <f t="shared" si="3"/>
        <v>2818800</v>
      </c>
      <c r="H64" s="2">
        <v>6995040</v>
      </c>
      <c r="I64" s="2">
        <f t="shared" ref="I64:I71" si="4">G64-H64</f>
        <v>-4176240</v>
      </c>
      <c r="J64" s="14">
        <v>3.6123529843815359E-2</v>
      </c>
    </row>
    <row r="65" spans="1:10" x14ac:dyDescent="0.35">
      <c r="A65" s="23" t="s">
        <v>3</v>
      </c>
      <c r="B65" s="4" t="s">
        <v>52</v>
      </c>
      <c r="C65" s="2">
        <v>6912000</v>
      </c>
      <c r="D65" s="2">
        <v>10292400</v>
      </c>
      <c r="E65" s="2">
        <v>9708000</v>
      </c>
      <c r="F65" s="2">
        <v>15951600</v>
      </c>
      <c r="G65" s="2">
        <f t="shared" si="3"/>
        <v>10634400</v>
      </c>
      <c r="H65" s="2">
        <v>15951600</v>
      </c>
      <c r="I65" s="2">
        <f t="shared" si="4"/>
        <v>-5317200</v>
      </c>
      <c r="J65" s="14">
        <v>0.35847413959759766</v>
      </c>
    </row>
    <row r="66" spans="1:10" x14ac:dyDescent="0.35">
      <c r="A66" s="23" t="s">
        <v>3</v>
      </c>
      <c r="B66" s="4" t="s">
        <v>53</v>
      </c>
      <c r="C66" s="2">
        <v>7596000</v>
      </c>
      <c r="D66" s="2">
        <v>17946000</v>
      </c>
      <c r="E66" s="2">
        <f>35562000+1717200</f>
        <v>37279200</v>
      </c>
      <c r="F66" s="2">
        <v>28944000</v>
      </c>
      <c r="G66" s="2">
        <f t="shared" si="3"/>
        <v>19296000</v>
      </c>
      <c r="H66" s="2">
        <v>48462960</v>
      </c>
      <c r="I66" s="2">
        <f t="shared" si="4"/>
        <v>-29166960</v>
      </c>
      <c r="J66" s="14">
        <v>0.73875643834550642</v>
      </c>
    </row>
    <row r="67" spans="1:10" x14ac:dyDescent="0.35">
      <c r="A67" s="23" t="s">
        <v>3</v>
      </c>
      <c r="B67" s="4" t="s">
        <v>95</v>
      </c>
      <c r="C67" s="2">
        <v>758400</v>
      </c>
      <c r="D67" s="2">
        <v>2433600</v>
      </c>
      <c r="E67" s="2">
        <v>418800</v>
      </c>
      <c r="F67" s="2">
        <v>0</v>
      </c>
      <c r="G67" s="2">
        <f t="shared" si="3"/>
        <v>0</v>
      </c>
      <c r="H67" s="2">
        <v>544440</v>
      </c>
      <c r="I67" s="2">
        <f t="shared" si="4"/>
        <v>-544440</v>
      </c>
      <c r="J67" s="14">
        <v>0.12698382975890268</v>
      </c>
    </row>
    <row r="68" spans="1:10" x14ac:dyDescent="0.35">
      <c r="A68" s="23" t="s">
        <v>3</v>
      </c>
      <c r="B68" s="4" t="s">
        <v>68</v>
      </c>
      <c r="C68" s="2">
        <v>711600</v>
      </c>
      <c r="D68" s="2">
        <v>6268800</v>
      </c>
      <c r="E68" s="2">
        <v>1567200</v>
      </c>
      <c r="F68" s="2">
        <v>0</v>
      </c>
      <c r="G68" s="2">
        <f t="shared" si="3"/>
        <v>0</v>
      </c>
      <c r="H68" s="2">
        <v>2037360</v>
      </c>
      <c r="I68" s="2">
        <f t="shared" si="4"/>
        <v>-2037360</v>
      </c>
      <c r="J68" s="14">
        <v>2.0198145025295111</v>
      </c>
    </row>
    <row r="69" spans="1:10" x14ac:dyDescent="0.35">
      <c r="A69" s="23" t="s">
        <v>3</v>
      </c>
      <c r="B69" s="4" t="s">
        <v>69</v>
      </c>
      <c r="C69" s="2">
        <v>504000</v>
      </c>
      <c r="D69" s="2">
        <v>0</v>
      </c>
      <c r="E69" s="2">
        <v>0</v>
      </c>
      <c r="F69" s="2">
        <v>0</v>
      </c>
      <c r="G69" s="2">
        <f t="shared" si="3"/>
        <v>0</v>
      </c>
      <c r="H69" s="2">
        <v>0</v>
      </c>
      <c r="I69" s="2">
        <f t="shared" si="4"/>
        <v>0</v>
      </c>
      <c r="J69" s="16">
        <v>-0.33333333333333331</v>
      </c>
    </row>
    <row r="70" spans="1:10" x14ac:dyDescent="0.35">
      <c r="A70" s="23" t="s">
        <v>3</v>
      </c>
      <c r="B70" s="4" t="s">
        <v>54</v>
      </c>
      <c r="C70" s="2">
        <v>2654400</v>
      </c>
      <c r="D70" s="2">
        <v>5246400</v>
      </c>
      <c r="E70" s="2">
        <v>6873600</v>
      </c>
      <c r="F70" s="2">
        <v>8429400</v>
      </c>
      <c r="G70" s="2">
        <f t="shared" si="3"/>
        <v>5619600</v>
      </c>
      <c r="H70" s="2">
        <v>8935680</v>
      </c>
      <c r="I70" s="2">
        <f t="shared" si="4"/>
        <v>-3316080</v>
      </c>
      <c r="J70" s="14">
        <v>0.50433055717832742</v>
      </c>
    </row>
    <row r="71" spans="1:10" x14ac:dyDescent="0.35">
      <c r="A71" s="28" t="s">
        <v>4</v>
      </c>
      <c r="B71" s="28"/>
      <c r="C71" s="3">
        <v>1240168200</v>
      </c>
      <c r="D71" s="3">
        <v>2379356200</v>
      </c>
      <c r="E71" s="3">
        <v>2164255400</v>
      </c>
      <c r="F71" s="3">
        <v>2731469850</v>
      </c>
      <c r="G71" s="7">
        <f t="shared" si="3"/>
        <v>1820979900</v>
      </c>
      <c r="H71" s="7">
        <v>2813532020</v>
      </c>
      <c r="I71" s="7">
        <f t="shared" si="4"/>
        <v>-992552120</v>
      </c>
      <c r="J71" s="21">
        <v>0.36341847088028989</v>
      </c>
    </row>
    <row r="72" spans="1:10" x14ac:dyDescent="0.35">
      <c r="C72" s="2"/>
      <c r="D72" s="10"/>
      <c r="E72" s="10"/>
      <c r="F72" s="10"/>
      <c r="G72" s="10"/>
      <c r="H72" s="2"/>
      <c r="I72" s="2"/>
    </row>
    <row r="73" spans="1:10" x14ac:dyDescent="0.35">
      <c r="E73" s="11"/>
    </row>
  </sheetData>
  <mergeCells count="1">
    <mergeCell ref="A71:B71"/>
  </mergeCells>
  <pageMargins left="0.7" right="0.7" top="0.75" bottom="0.75" header="0.3" footer="0.3"/>
  <ignoredErrors>
    <ignoredError sqref="C2:E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C6205-C6EC-4A9F-9D3F-0BCDA992A403}">
  <dimension ref="A2:H55"/>
  <sheetViews>
    <sheetView topLeftCell="B1" workbookViewId="0">
      <selection activeCell="C2" sqref="C2"/>
    </sheetView>
  </sheetViews>
  <sheetFormatPr defaultRowHeight="14.5" x14ac:dyDescent="0.35"/>
  <cols>
    <col min="1" max="1" width="12.453125" bestFit="1" customWidth="1"/>
    <col min="2" max="2" width="70.6328125" customWidth="1"/>
    <col min="3" max="6" width="12.6328125" customWidth="1"/>
    <col min="7" max="7" width="14.81640625" bestFit="1" customWidth="1"/>
    <col min="8" max="8" width="12.453125" customWidth="1"/>
  </cols>
  <sheetData>
    <row r="2" spans="1:8" x14ac:dyDescent="0.35">
      <c r="A2" s="24" t="s">
        <v>102</v>
      </c>
      <c r="B2" s="1" t="s">
        <v>70</v>
      </c>
      <c r="C2" s="5" t="s">
        <v>55</v>
      </c>
      <c r="D2" s="5" t="s">
        <v>56</v>
      </c>
      <c r="E2" s="6" t="s">
        <v>98</v>
      </c>
      <c r="F2" s="6" t="s">
        <v>99</v>
      </c>
      <c r="G2" s="6" t="s">
        <v>101</v>
      </c>
      <c r="H2" s="13" t="s">
        <v>100</v>
      </c>
    </row>
    <row r="3" spans="1:8" x14ac:dyDescent="0.35">
      <c r="A3" s="23" t="s">
        <v>0</v>
      </c>
      <c r="B3" s="4" t="s">
        <v>5</v>
      </c>
      <c r="C3" s="2">
        <v>7776000</v>
      </c>
      <c r="D3" s="2">
        <v>6048000</v>
      </c>
      <c r="E3" s="2">
        <v>0</v>
      </c>
      <c r="F3" s="8">
        <f t="shared" ref="F3:F55" si="0">(D3/12)*4</f>
        <v>2016000</v>
      </c>
      <c r="G3" s="8">
        <f t="shared" ref="G3:G55" si="1">E3-F3</f>
        <v>-2016000</v>
      </c>
      <c r="H3" s="14">
        <v>0.3888888888888889</v>
      </c>
    </row>
    <row r="4" spans="1:8" x14ac:dyDescent="0.35">
      <c r="A4" s="23" t="s">
        <v>0</v>
      </c>
      <c r="B4" s="4" t="s">
        <v>6</v>
      </c>
      <c r="C4" s="2">
        <v>6384000</v>
      </c>
      <c r="D4" s="2">
        <v>4788000</v>
      </c>
      <c r="E4" s="2">
        <v>0</v>
      </c>
      <c r="F4" s="8">
        <f t="shared" si="0"/>
        <v>1596000</v>
      </c>
      <c r="G4" s="8">
        <f t="shared" si="1"/>
        <v>-1596000</v>
      </c>
      <c r="H4" s="14">
        <v>0.375</v>
      </c>
    </row>
    <row r="5" spans="1:8" x14ac:dyDescent="0.35">
      <c r="A5" s="23" t="s">
        <v>0</v>
      </c>
      <c r="B5" s="4" t="s">
        <v>57</v>
      </c>
      <c r="C5" s="2">
        <v>2124000</v>
      </c>
      <c r="D5" s="2">
        <v>0</v>
      </c>
      <c r="E5" s="2">
        <v>0</v>
      </c>
      <c r="F5" s="8">
        <f t="shared" si="0"/>
        <v>0</v>
      </c>
      <c r="G5" s="8">
        <f t="shared" si="1"/>
        <v>0</v>
      </c>
      <c r="H5" s="16">
        <v>-0.5</v>
      </c>
    </row>
    <row r="6" spans="1:8" x14ac:dyDescent="0.35">
      <c r="A6" s="23" t="s">
        <v>0</v>
      </c>
      <c r="B6" s="4" t="s">
        <v>8</v>
      </c>
      <c r="C6" s="2">
        <v>7416000</v>
      </c>
      <c r="D6" s="2">
        <v>51912000</v>
      </c>
      <c r="E6" s="2">
        <v>0</v>
      </c>
      <c r="F6" s="8">
        <f t="shared" si="0"/>
        <v>17304000</v>
      </c>
      <c r="G6" s="8">
        <f t="shared" si="1"/>
        <v>-17304000</v>
      </c>
      <c r="H6" s="14">
        <v>3.5</v>
      </c>
    </row>
    <row r="7" spans="1:8" x14ac:dyDescent="0.35">
      <c r="A7" s="23" t="s">
        <v>0</v>
      </c>
      <c r="B7" s="4" t="s">
        <v>9</v>
      </c>
      <c r="C7" s="2">
        <v>9504000</v>
      </c>
      <c r="D7" s="2">
        <v>5940000</v>
      </c>
      <c r="E7" s="2">
        <v>0</v>
      </c>
      <c r="F7" s="8">
        <f t="shared" si="0"/>
        <v>1980000</v>
      </c>
      <c r="G7" s="8">
        <f t="shared" si="1"/>
        <v>-1980000</v>
      </c>
      <c r="H7" s="14">
        <v>0.3125</v>
      </c>
    </row>
    <row r="8" spans="1:8" x14ac:dyDescent="0.35">
      <c r="A8" s="23" t="s">
        <v>0</v>
      </c>
      <c r="B8" s="4" t="s">
        <v>58</v>
      </c>
      <c r="C8" s="2">
        <v>3852000</v>
      </c>
      <c r="D8" s="2">
        <v>2996000</v>
      </c>
      <c r="E8" s="2">
        <v>0</v>
      </c>
      <c r="F8" s="8">
        <f t="shared" si="0"/>
        <v>998666.66666666663</v>
      </c>
      <c r="G8" s="8">
        <f t="shared" si="1"/>
        <v>-998666.66666666663</v>
      </c>
      <c r="H8" s="14">
        <v>0.3888888888888889</v>
      </c>
    </row>
    <row r="9" spans="1:8" x14ac:dyDescent="0.35">
      <c r="A9" s="23" t="s">
        <v>0</v>
      </c>
      <c r="B9" s="4" t="s">
        <v>10</v>
      </c>
      <c r="C9" s="2">
        <v>2832000</v>
      </c>
      <c r="D9" s="2">
        <v>1416000</v>
      </c>
      <c r="E9" s="2">
        <v>0</v>
      </c>
      <c r="F9" s="8">
        <f t="shared" si="0"/>
        <v>472000</v>
      </c>
      <c r="G9" s="8">
        <f t="shared" si="1"/>
        <v>-472000</v>
      </c>
      <c r="H9" s="14">
        <v>0.25</v>
      </c>
    </row>
    <row r="10" spans="1:8" x14ac:dyDescent="0.35">
      <c r="A10" s="23" t="s">
        <v>0</v>
      </c>
      <c r="B10" s="4" t="s">
        <v>11</v>
      </c>
      <c r="C10" s="2">
        <v>5712000</v>
      </c>
      <c r="D10" s="2">
        <v>2856000</v>
      </c>
      <c r="E10" s="2">
        <v>0</v>
      </c>
      <c r="F10" s="8">
        <f t="shared" si="0"/>
        <v>952000</v>
      </c>
      <c r="G10" s="8">
        <f t="shared" si="1"/>
        <v>-952000</v>
      </c>
      <c r="H10" s="14">
        <v>0.25</v>
      </c>
    </row>
    <row r="11" spans="1:8" x14ac:dyDescent="0.35">
      <c r="A11" s="23" t="s">
        <v>0</v>
      </c>
      <c r="B11" s="4" t="s">
        <v>59</v>
      </c>
      <c r="C11" s="2">
        <v>2028000</v>
      </c>
      <c r="D11" s="2">
        <v>2028000</v>
      </c>
      <c r="E11" s="2">
        <v>0</v>
      </c>
      <c r="F11" s="8">
        <f t="shared" si="0"/>
        <v>676000</v>
      </c>
      <c r="G11" s="8">
        <f t="shared" si="1"/>
        <v>-676000</v>
      </c>
      <c r="H11" s="14">
        <v>0.5</v>
      </c>
    </row>
    <row r="12" spans="1:8" x14ac:dyDescent="0.35">
      <c r="A12" s="23" t="s">
        <v>0</v>
      </c>
      <c r="B12" s="4" t="s">
        <v>12</v>
      </c>
      <c r="C12" s="2">
        <v>16128000</v>
      </c>
      <c r="D12" s="2">
        <v>18144000</v>
      </c>
      <c r="E12" s="2">
        <v>0</v>
      </c>
      <c r="F12" s="8">
        <f t="shared" si="0"/>
        <v>6048000</v>
      </c>
      <c r="G12" s="8">
        <f t="shared" si="1"/>
        <v>-6048000</v>
      </c>
      <c r="H12" s="14">
        <v>0.5625</v>
      </c>
    </row>
    <row r="13" spans="1:8" x14ac:dyDescent="0.35">
      <c r="A13" s="23" t="s">
        <v>0</v>
      </c>
      <c r="B13" s="4" t="s">
        <v>16</v>
      </c>
      <c r="C13" s="2">
        <v>5160000</v>
      </c>
      <c r="D13" s="2">
        <v>0</v>
      </c>
      <c r="E13" s="2">
        <v>0</v>
      </c>
      <c r="F13" s="8">
        <f t="shared" si="0"/>
        <v>0</v>
      </c>
      <c r="G13" s="8">
        <f t="shared" si="1"/>
        <v>0</v>
      </c>
      <c r="H13" s="16">
        <v>-0.5</v>
      </c>
    </row>
    <row r="14" spans="1:8" x14ac:dyDescent="0.35">
      <c r="A14" s="23" t="s">
        <v>0</v>
      </c>
      <c r="B14" s="4" t="s">
        <v>17</v>
      </c>
      <c r="C14" s="2">
        <v>24940000</v>
      </c>
      <c r="D14" s="2">
        <v>20640000</v>
      </c>
      <c r="E14" s="2">
        <v>0</v>
      </c>
      <c r="F14" s="8">
        <f t="shared" si="0"/>
        <v>6880000</v>
      </c>
      <c r="G14" s="8">
        <f t="shared" si="1"/>
        <v>-6880000</v>
      </c>
      <c r="H14" s="14">
        <v>0.41379310344827586</v>
      </c>
    </row>
    <row r="15" spans="1:8" x14ac:dyDescent="0.35">
      <c r="A15" s="23" t="s">
        <v>0</v>
      </c>
      <c r="B15" s="4" t="s">
        <v>18</v>
      </c>
      <c r="C15" s="2">
        <v>5724000</v>
      </c>
      <c r="D15" s="2">
        <v>7632000</v>
      </c>
      <c r="E15" s="2">
        <v>0</v>
      </c>
      <c r="F15" s="8">
        <f t="shared" si="0"/>
        <v>2544000</v>
      </c>
      <c r="G15" s="8">
        <f t="shared" si="1"/>
        <v>-2544000</v>
      </c>
      <c r="H15" s="14">
        <v>0.66666666666666663</v>
      </c>
    </row>
    <row r="16" spans="1:8" x14ac:dyDescent="0.35">
      <c r="A16" s="23" t="s">
        <v>0</v>
      </c>
      <c r="B16" s="4" t="s">
        <v>19</v>
      </c>
      <c r="C16" s="2">
        <v>48636000</v>
      </c>
      <c r="D16" s="2">
        <v>113484000</v>
      </c>
      <c r="E16" s="2">
        <v>0</v>
      </c>
      <c r="F16" s="8">
        <f t="shared" si="0"/>
        <v>37828000</v>
      </c>
      <c r="G16" s="8">
        <f t="shared" si="1"/>
        <v>-37828000</v>
      </c>
      <c r="H16" s="14">
        <v>1.1666666666666667</v>
      </c>
    </row>
    <row r="17" spans="1:8" x14ac:dyDescent="0.35">
      <c r="A17" s="23" t="s">
        <v>0</v>
      </c>
      <c r="B17" s="4" t="s">
        <v>20</v>
      </c>
      <c r="C17" s="2">
        <v>24384000</v>
      </c>
      <c r="D17" s="2">
        <v>70104000</v>
      </c>
      <c r="E17" s="2">
        <v>0</v>
      </c>
      <c r="F17" s="8">
        <f t="shared" si="0"/>
        <v>23368000</v>
      </c>
      <c r="G17" s="8">
        <f t="shared" si="1"/>
        <v>-23368000</v>
      </c>
      <c r="H17" s="14">
        <v>1.4375</v>
      </c>
    </row>
    <row r="18" spans="1:8" x14ac:dyDescent="0.35">
      <c r="A18" s="23" t="s">
        <v>0</v>
      </c>
      <c r="B18" s="4" t="s">
        <v>21</v>
      </c>
      <c r="C18" s="2">
        <v>9264000</v>
      </c>
      <c r="D18" s="2">
        <v>2316000</v>
      </c>
      <c r="E18" s="2">
        <v>0</v>
      </c>
      <c r="F18" s="8">
        <f t="shared" si="0"/>
        <v>772000</v>
      </c>
      <c r="G18" s="8">
        <f t="shared" si="1"/>
        <v>-772000</v>
      </c>
      <c r="H18" s="14">
        <v>0.125</v>
      </c>
    </row>
    <row r="19" spans="1:8" x14ac:dyDescent="0.35">
      <c r="A19" s="23" t="s">
        <v>0</v>
      </c>
      <c r="B19" s="4" t="s">
        <v>22</v>
      </c>
      <c r="C19" s="2">
        <v>21744000</v>
      </c>
      <c r="D19" s="2">
        <v>5436000</v>
      </c>
      <c r="E19" s="2">
        <v>0</v>
      </c>
      <c r="F19" s="8">
        <f t="shared" si="0"/>
        <v>1812000</v>
      </c>
      <c r="G19" s="8">
        <f t="shared" si="1"/>
        <v>-1812000</v>
      </c>
      <c r="H19" s="14">
        <v>0.125</v>
      </c>
    </row>
    <row r="20" spans="1:8" x14ac:dyDescent="0.35">
      <c r="A20" s="23" t="s">
        <v>0</v>
      </c>
      <c r="B20" s="4" t="s">
        <v>23</v>
      </c>
      <c r="C20" s="2">
        <v>3624000</v>
      </c>
      <c r="D20" s="2">
        <v>0</v>
      </c>
      <c r="E20" s="2">
        <v>0</v>
      </c>
      <c r="F20" s="8">
        <f t="shared" si="0"/>
        <v>0</v>
      </c>
      <c r="G20" s="8">
        <f t="shared" si="1"/>
        <v>0</v>
      </c>
      <c r="H20" s="16">
        <v>-0.5</v>
      </c>
    </row>
    <row r="21" spans="1:8" x14ac:dyDescent="0.35">
      <c r="A21" s="23" t="s">
        <v>0</v>
      </c>
      <c r="B21" s="4" t="s">
        <v>24</v>
      </c>
      <c r="C21" s="2">
        <v>10980000</v>
      </c>
      <c r="D21" s="2">
        <v>10980000</v>
      </c>
      <c r="E21" s="2">
        <v>0</v>
      </c>
      <c r="F21" s="8">
        <f t="shared" si="0"/>
        <v>3660000</v>
      </c>
      <c r="G21" s="8">
        <f t="shared" si="1"/>
        <v>-3660000</v>
      </c>
      <c r="H21" s="14">
        <v>0.5</v>
      </c>
    </row>
    <row r="22" spans="1:8" x14ac:dyDescent="0.35">
      <c r="A22" s="23" t="s">
        <v>0</v>
      </c>
      <c r="B22" s="4" t="s">
        <v>25</v>
      </c>
      <c r="C22" s="2">
        <v>24384000</v>
      </c>
      <c r="D22" s="2">
        <v>27432000</v>
      </c>
      <c r="E22" s="2">
        <v>0</v>
      </c>
      <c r="F22" s="8">
        <f t="shared" si="0"/>
        <v>9144000</v>
      </c>
      <c r="G22" s="8">
        <f t="shared" si="1"/>
        <v>-9144000</v>
      </c>
      <c r="H22" s="14">
        <v>0.5625</v>
      </c>
    </row>
    <row r="23" spans="1:8" x14ac:dyDescent="0.35">
      <c r="A23" s="23" t="s">
        <v>2</v>
      </c>
      <c r="B23" s="4" t="s">
        <v>31</v>
      </c>
      <c r="C23" s="2">
        <v>1718100</v>
      </c>
      <c r="D23" s="2">
        <v>2028600</v>
      </c>
      <c r="E23" s="2">
        <v>0</v>
      </c>
      <c r="F23" s="8">
        <f t="shared" si="0"/>
        <v>676200</v>
      </c>
      <c r="G23" s="8">
        <f t="shared" si="1"/>
        <v>-676200</v>
      </c>
      <c r="H23" s="14">
        <v>0.59036144578313254</v>
      </c>
    </row>
    <row r="24" spans="1:8" x14ac:dyDescent="0.35">
      <c r="A24" s="23" t="s">
        <v>2</v>
      </c>
      <c r="B24" s="4" t="s">
        <v>60</v>
      </c>
      <c r="C24" s="2">
        <v>1040400</v>
      </c>
      <c r="D24" s="2">
        <v>1907400</v>
      </c>
      <c r="E24" s="2">
        <v>0</v>
      </c>
      <c r="F24" s="8">
        <f t="shared" si="0"/>
        <v>635800</v>
      </c>
      <c r="G24" s="8">
        <f t="shared" si="1"/>
        <v>-635800</v>
      </c>
      <c r="H24" s="14">
        <v>0.91666666666666663</v>
      </c>
    </row>
    <row r="25" spans="1:8" x14ac:dyDescent="0.35">
      <c r="A25" s="23" t="s">
        <v>2</v>
      </c>
      <c r="B25" s="4" t="s">
        <v>32</v>
      </c>
      <c r="C25" s="2">
        <v>6840200</v>
      </c>
      <c r="D25" s="2">
        <v>124164500</v>
      </c>
      <c r="E25" s="2">
        <v>0</v>
      </c>
      <c r="F25" s="8">
        <f t="shared" si="0"/>
        <v>41388166.666666664</v>
      </c>
      <c r="G25" s="8">
        <f t="shared" si="1"/>
        <v>-41388166.666666664</v>
      </c>
      <c r="H25" s="14">
        <v>9.0760869565217384</v>
      </c>
    </row>
    <row r="26" spans="1:8" x14ac:dyDescent="0.35">
      <c r="A26" s="23" t="s">
        <v>2</v>
      </c>
      <c r="B26" s="4" t="s">
        <v>33</v>
      </c>
      <c r="C26" s="2">
        <v>2324400</v>
      </c>
      <c r="D26" s="2">
        <v>0</v>
      </c>
      <c r="E26" s="2">
        <v>0</v>
      </c>
      <c r="F26" s="8">
        <f t="shared" si="0"/>
        <v>0</v>
      </c>
      <c r="G26" s="8">
        <f t="shared" si="1"/>
        <v>0</v>
      </c>
      <c r="H26" s="16">
        <v>-0.5</v>
      </c>
    </row>
    <row r="27" spans="1:8" x14ac:dyDescent="0.35">
      <c r="A27" s="23" t="s">
        <v>2</v>
      </c>
      <c r="B27" s="4" t="s">
        <v>34</v>
      </c>
      <c r="C27" s="2">
        <v>14423900</v>
      </c>
      <c r="D27" s="2">
        <v>40595100</v>
      </c>
      <c r="E27" s="2">
        <v>0</v>
      </c>
      <c r="F27" s="8">
        <f t="shared" si="0"/>
        <v>13531700</v>
      </c>
      <c r="G27" s="8">
        <f t="shared" si="1"/>
        <v>-13531700</v>
      </c>
      <c r="H27" s="14">
        <v>1.4072164948453609</v>
      </c>
    </row>
    <row r="28" spans="1:8" x14ac:dyDescent="0.35">
      <c r="A28" s="23" t="s">
        <v>2</v>
      </c>
      <c r="B28" s="4" t="s">
        <v>35</v>
      </c>
      <c r="C28" s="2">
        <v>15613500</v>
      </c>
      <c r="D28" s="2">
        <v>136357900</v>
      </c>
      <c r="E28" s="2">
        <v>0</v>
      </c>
      <c r="F28" s="8">
        <f t="shared" si="0"/>
        <v>45452633.333333336</v>
      </c>
      <c r="G28" s="8">
        <f t="shared" si="1"/>
        <v>-45452633.333333336</v>
      </c>
      <c r="H28" s="14">
        <v>4.3666666666666663</v>
      </c>
    </row>
    <row r="29" spans="1:8" x14ac:dyDescent="0.35">
      <c r="A29" s="23" t="s">
        <v>2</v>
      </c>
      <c r="B29" s="4" t="s">
        <v>61</v>
      </c>
      <c r="C29" s="2">
        <v>1790800</v>
      </c>
      <c r="D29" s="2">
        <v>4884000</v>
      </c>
      <c r="E29" s="2">
        <v>0</v>
      </c>
      <c r="F29" s="8">
        <f t="shared" si="0"/>
        <v>1628000</v>
      </c>
      <c r="G29" s="8">
        <f t="shared" si="1"/>
        <v>-1628000</v>
      </c>
      <c r="H29" s="14">
        <v>1.3636363636363635</v>
      </c>
    </row>
    <row r="30" spans="1:8" x14ac:dyDescent="0.35">
      <c r="A30" s="23" t="s">
        <v>2</v>
      </c>
      <c r="B30" s="4" t="s">
        <v>36</v>
      </c>
      <c r="C30" s="2">
        <v>1469400</v>
      </c>
      <c r="D30" s="2">
        <v>0</v>
      </c>
      <c r="E30" s="2">
        <v>0</v>
      </c>
      <c r="F30" s="8">
        <f t="shared" si="0"/>
        <v>0</v>
      </c>
      <c r="G30" s="8">
        <f t="shared" si="1"/>
        <v>0</v>
      </c>
      <c r="H30" s="16">
        <v>-0.5</v>
      </c>
    </row>
    <row r="31" spans="1:8" x14ac:dyDescent="0.35">
      <c r="A31" s="23" t="s">
        <v>2</v>
      </c>
      <c r="B31" s="4" t="s">
        <v>37</v>
      </c>
      <c r="C31" s="2">
        <v>2279200</v>
      </c>
      <c r="D31" s="2">
        <v>2116400</v>
      </c>
      <c r="E31" s="2">
        <v>0</v>
      </c>
      <c r="F31" s="8">
        <f t="shared" si="0"/>
        <v>705466.66666666663</v>
      </c>
      <c r="G31" s="8">
        <f t="shared" si="1"/>
        <v>-705466.66666666663</v>
      </c>
      <c r="H31" s="14">
        <v>0.4642857142857143</v>
      </c>
    </row>
    <row r="32" spans="1:8" x14ac:dyDescent="0.35">
      <c r="A32" s="23" t="s">
        <v>2</v>
      </c>
      <c r="B32" s="4" t="s">
        <v>38</v>
      </c>
      <c r="C32" s="2">
        <v>5860800</v>
      </c>
      <c r="D32" s="2">
        <v>0</v>
      </c>
      <c r="E32" s="2">
        <v>0</v>
      </c>
      <c r="F32" s="8">
        <f t="shared" si="0"/>
        <v>0</v>
      </c>
      <c r="G32" s="8">
        <f t="shared" si="1"/>
        <v>0</v>
      </c>
      <c r="H32" s="16">
        <v>-0.5</v>
      </c>
    </row>
    <row r="33" spans="1:8" x14ac:dyDescent="0.35">
      <c r="A33" s="23" t="s">
        <v>2</v>
      </c>
      <c r="B33" s="4" t="s">
        <v>41</v>
      </c>
      <c r="C33" s="2">
        <v>800800</v>
      </c>
      <c r="D33" s="2">
        <v>1747200</v>
      </c>
      <c r="E33" s="2">
        <v>0</v>
      </c>
      <c r="F33" s="8">
        <f t="shared" si="0"/>
        <v>582400</v>
      </c>
      <c r="G33" s="8">
        <f t="shared" si="1"/>
        <v>-582400</v>
      </c>
      <c r="H33" s="14">
        <v>1.0909090909090908</v>
      </c>
    </row>
    <row r="34" spans="1:8" x14ac:dyDescent="0.35">
      <c r="A34" s="23" t="s">
        <v>3</v>
      </c>
      <c r="B34" s="4" t="s">
        <v>62</v>
      </c>
      <c r="C34" s="2">
        <v>283100</v>
      </c>
      <c r="D34" s="2">
        <v>0</v>
      </c>
      <c r="E34" s="2">
        <v>0</v>
      </c>
      <c r="F34" s="8">
        <f t="shared" si="0"/>
        <v>0</v>
      </c>
      <c r="G34" s="8">
        <f t="shared" si="1"/>
        <v>0</v>
      </c>
      <c r="H34" s="16">
        <v>-0.5</v>
      </c>
    </row>
    <row r="35" spans="1:8" x14ac:dyDescent="0.35">
      <c r="A35" s="23" t="s">
        <v>3</v>
      </c>
      <c r="B35" s="4" t="s">
        <v>63</v>
      </c>
      <c r="C35" s="2">
        <v>3342000</v>
      </c>
      <c r="D35" s="2">
        <v>2172300</v>
      </c>
      <c r="E35" s="2">
        <v>0</v>
      </c>
      <c r="F35" s="8">
        <f t="shared" si="0"/>
        <v>724100</v>
      </c>
      <c r="G35" s="8">
        <f t="shared" si="1"/>
        <v>-724100</v>
      </c>
      <c r="H35" s="14">
        <v>0.32500000000000001</v>
      </c>
    </row>
    <row r="36" spans="1:8" x14ac:dyDescent="0.35">
      <c r="A36" s="23" t="s">
        <v>3</v>
      </c>
      <c r="B36" s="4" t="s">
        <v>64</v>
      </c>
      <c r="C36" s="2">
        <v>7786800</v>
      </c>
      <c r="D36" s="2">
        <v>1854000</v>
      </c>
      <c r="E36" s="2">
        <v>0</v>
      </c>
      <c r="F36" s="8">
        <f t="shared" si="0"/>
        <v>618000</v>
      </c>
      <c r="G36" s="8">
        <f t="shared" si="1"/>
        <v>-618000</v>
      </c>
      <c r="H36" s="14">
        <v>0.11904761904761904</v>
      </c>
    </row>
    <row r="37" spans="1:8" x14ac:dyDescent="0.35">
      <c r="A37" s="23" t="s">
        <v>3</v>
      </c>
      <c r="B37" s="4" t="s">
        <v>65</v>
      </c>
      <c r="C37" s="2">
        <v>501300</v>
      </c>
      <c r="D37" s="2">
        <v>0</v>
      </c>
      <c r="E37" s="2">
        <v>0</v>
      </c>
      <c r="F37" s="8">
        <f t="shared" si="0"/>
        <v>0</v>
      </c>
      <c r="G37" s="8">
        <f t="shared" si="1"/>
        <v>0</v>
      </c>
      <c r="H37" s="16">
        <v>-0.5</v>
      </c>
    </row>
    <row r="38" spans="1:8" x14ac:dyDescent="0.35">
      <c r="A38" s="23" t="s">
        <v>3</v>
      </c>
      <c r="B38" s="4" t="s">
        <v>42</v>
      </c>
      <c r="C38" s="2">
        <v>12978000</v>
      </c>
      <c r="D38" s="2">
        <v>0</v>
      </c>
      <c r="E38" s="2">
        <v>0</v>
      </c>
      <c r="F38" s="8">
        <f t="shared" si="0"/>
        <v>0</v>
      </c>
      <c r="G38" s="8">
        <f t="shared" si="1"/>
        <v>0</v>
      </c>
      <c r="H38" s="16">
        <v>-0.5</v>
      </c>
    </row>
    <row r="39" spans="1:8" x14ac:dyDescent="0.35">
      <c r="A39" s="23" t="s">
        <v>3</v>
      </c>
      <c r="B39" s="4" t="s">
        <v>43</v>
      </c>
      <c r="C39" s="2">
        <v>79800</v>
      </c>
      <c r="D39" s="2">
        <v>0</v>
      </c>
      <c r="E39" s="2">
        <v>0</v>
      </c>
      <c r="F39" s="8">
        <f t="shared" si="0"/>
        <v>0</v>
      </c>
      <c r="G39" s="8">
        <f t="shared" si="1"/>
        <v>0</v>
      </c>
      <c r="H39" s="16">
        <v>-0.5</v>
      </c>
    </row>
    <row r="40" spans="1:8" x14ac:dyDescent="0.35">
      <c r="A40" s="23" t="s">
        <v>3</v>
      </c>
      <c r="B40" s="4" t="s">
        <v>66</v>
      </c>
      <c r="C40" s="2">
        <v>45000</v>
      </c>
      <c r="D40" s="2">
        <v>0</v>
      </c>
      <c r="E40" s="2">
        <v>0</v>
      </c>
      <c r="F40" s="8">
        <f t="shared" si="0"/>
        <v>0</v>
      </c>
      <c r="G40" s="8">
        <f t="shared" si="1"/>
        <v>0</v>
      </c>
      <c r="H40" s="16">
        <v>-0.5</v>
      </c>
    </row>
    <row r="41" spans="1:8" x14ac:dyDescent="0.35">
      <c r="A41" s="23" t="s">
        <v>3</v>
      </c>
      <c r="B41" s="4" t="s">
        <v>67</v>
      </c>
      <c r="C41" s="2">
        <v>275400</v>
      </c>
      <c r="D41" s="2">
        <v>0</v>
      </c>
      <c r="E41" s="2">
        <v>0</v>
      </c>
      <c r="F41" s="8">
        <f t="shared" si="0"/>
        <v>0</v>
      </c>
      <c r="G41" s="8">
        <f t="shared" si="1"/>
        <v>0</v>
      </c>
      <c r="H41" s="16">
        <v>-0.5</v>
      </c>
    </row>
    <row r="42" spans="1:8" x14ac:dyDescent="0.35">
      <c r="A42" s="23" t="s">
        <v>3</v>
      </c>
      <c r="B42" s="4" t="s">
        <v>44</v>
      </c>
      <c r="C42" s="2">
        <v>945500</v>
      </c>
      <c r="D42" s="2">
        <v>31000</v>
      </c>
      <c r="E42" s="2">
        <v>0</v>
      </c>
      <c r="F42" s="8">
        <f t="shared" si="0"/>
        <v>10333.333333333334</v>
      </c>
      <c r="G42" s="8">
        <f t="shared" si="1"/>
        <v>-10333.333333333334</v>
      </c>
      <c r="H42" s="14">
        <v>1.6393442622950821E-2</v>
      </c>
    </row>
    <row r="43" spans="1:8" x14ac:dyDescent="0.35">
      <c r="A43" s="23" t="s">
        <v>3</v>
      </c>
      <c r="B43" s="4" t="s">
        <v>45</v>
      </c>
      <c r="C43" s="2">
        <v>3807700</v>
      </c>
      <c r="D43" s="2">
        <v>5089500</v>
      </c>
      <c r="E43" s="2">
        <v>0</v>
      </c>
      <c r="F43" s="8">
        <f t="shared" si="0"/>
        <v>1696500</v>
      </c>
      <c r="G43" s="8">
        <f t="shared" si="1"/>
        <v>-1696500</v>
      </c>
      <c r="H43" s="14">
        <v>0.66831683168316836</v>
      </c>
    </row>
    <row r="44" spans="1:8" x14ac:dyDescent="0.35">
      <c r="A44" s="23" t="s">
        <v>3</v>
      </c>
      <c r="B44" s="4" t="s">
        <v>46</v>
      </c>
      <c r="C44" s="2">
        <v>65600</v>
      </c>
      <c r="D44" s="2">
        <v>41000</v>
      </c>
      <c r="E44" s="2">
        <v>0</v>
      </c>
      <c r="F44" s="8">
        <f t="shared" si="0"/>
        <v>13666.666666666666</v>
      </c>
      <c r="G44" s="8">
        <f t="shared" si="1"/>
        <v>-13666.666666666666</v>
      </c>
      <c r="H44" s="14">
        <v>0.3125</v>
      </c>
    </row>
    <row r="45" spans="1:8" x14ac:dyDescent="0.35">
      <c r="A45" s="23" t="s">
        <v>3</v>
      </c>
      <c r="B45" s="4" t="s">
        <v>47</v>
      </c>
      <c r="C45" s="2">
        <v>720300</v>
      </c>
      <c r="D45" s="2">
        <v>68600</v>
      </c>
      <c r="E45" s="2">
        <v>0</v>
      </c>
      <c r="F45" s="8">
        <f t="shared" si="0"/>
        <v>22866.666666666668</v>
      </c>
      <c r="G45" s="8">
        <f t="shared" si="1"/>
        <v>-22866.666666666668</v>
      </c>
      <c r="H45" s="14">
        <v>4.7619047619047616E-2</v>
      </c>
    </row>
    <row r="46" spans="1:8" x14ac:dyDescent="0.35">
      <c r="A46" s="23" t="s">
        <v>3</v>
      </c>
      <c r="B46" s="4" t="s">
        <v>48</v>
      </c>
      <c r="C46" s="2">
        <v>627200</v>
      </c>
      <c r="D46" s="2">
        <v>39200</v>
      </c>
      <c r="E46" s="2">
        <v>0</v>
      </c>
      <c r="F46" s="8">
        <f t="shared" si="0"/>
        <v>13066.666666666666</v>
      </c>
      <c r="G46" s="8">
        <f t="shared" si="1"/>
        <v>-13066.666666666666</v>
      </c>
      <c r="H46" s="14">
        <v>3.125E-2</v>
      </c>
    </row>
    <row r="47" spans="1:8" x14ac:dyDescent="0.35">
      <c r="A47" s="23" t="s">
        <v>3</v>
      </c>
      <c r="B47" s="4" t="s">
        <v>49</v>
      </c>
      <c r="C47" s="2">
        <v>1440000</v>
      </c>
      <c r="D47" s="2">
        <v>0</v>
      </c>
      <c r="E47" s="2">
        <v>0</v>
      </c>
      <c r="F47" s="8">
        <f t="shared" si="0"/>
        <v>0</v>
      </c>
      <c r="G47" s="8">
        <f t="shared" si="1"/>
        <v>0</v>
      </c>
      <c r="H47" s="16">
        <v>-0.5</v>
      </c>
    </row>
    <row r="48" spans="1:8" x14ac:dyDescent="0.35">
      <c r="A48" s="23" t="s">
        <v>3</v>
      </c>
      <c r="B48" s="4" t="s">
        <v>50</v>
      </c>
      <c r="C48" s="2">
        <v>720000</v>
      </c>
      <c r="D48" s="2">
        <v>0</v>
      </c>
      <c r="E48" s="2">
        <v>0</v>
      </c>
      <c r="F48" s="8">
        <f t="shared" si="0"/>
        <v>0</v>
      </c>
      <c r="G48" s="8">
        <f t="shared" si="1"/>
        <v>0</v>
      </c>
      <c r="H48" s="16">
        <v>-0.5</v>
      </c>
    </row>
    <row r="49" spans="1:8" x14ac:dyDescent="0.35">
      <c r="A49" s="23" t="s">
        <v>3</v>
      </c>
      <c r="B49" s="4" t="s">
        <v>51</v>
      </c>
      <c r="C49" s="2">
        <v>2562000</v>
      </c>
      <c r="D49" s="2">
        <v>1921500</v>
      </c>
      <c r="E49" s="2">
        <v>0</v>
      </c>
      <c r="F49" s="8">
        <f t="shared" si="0"/>
        <v>640500</v>
      </c>
      <c r="G49" s="8">
        <f t="shared" si="1"/>
        <v>-640500</v>
      </c>
      <c r="H49" s="14">
        <v>0.375</v>
      </c>
    </row>
    <row r="50" spans="1:8" x14ac:dyDescent="0.35">
      <c r="A50" s="23" t="s">
        <v>3</v>
      </c>
      <c r="B50" s="4" t="s">
        <v>52</v>
      </c>
      <c r="C50" s="2">
        <v>9119500</v>
      </c>
      <c r="D50" s="2">
        <v>12608700</v>
      </c>
      <c r="E50" s="2">
        <v>0</v>
      </c>
      <c r="F50" s="8">
        <f t="shared" si="0"/>
        <v>4202900</v>
      </c>
      <c r="G50" s="8">
        <f t="shared" si="1"/>
        <v>-4202900</v>
      </c>
      <c r="H50" s="14">
        <v>0.69130434782608696</v>
      </c>
    </row>
    <row r="51" spans="1:8" x14ac:dyDescent="0.35">
      <c r="A51" s="23" t="s">
        <v>3</v>
      </c>
      <c r="B51" s="4" t="s">
        <v>53</v>
      </c>
      <c r="C51" s="2">
        <v>16456500</v>
      </c>
      <c r="D51" s="2">
        <v>5724000</v>
      </c>
      <c r="E51" s="2">
        <v>0</v>
      </c>
      <c r="F51" s="8">
        <f t="shared" si="0"/>
        <v>1908000</v>
      </c>
      <c r="G51" s="8">
        <f t="shared" si="1"/>
        <v>-1908000</v>
      </c>
      <c r="H51" s="14">
        <v>0.17391304347826086</v>
      </c>
    </row>
    <row r="52" spans="1:8" x14ac:dyDescent="0.35">
      <c r="A52" s="23" t="s">
        <v>3</v>
      </c>
      <c r="B52" s="4" t="s">
        <v>68</v>
      </c>
      <c r="C52" s="2">
        <v>2154900</v>
      </c>
      <c r="D52" s="2">
        <v>1501900</v>
      </c>
      <c r="E52" s="2">
        <v>0</v>
      </c>
      <c r="F52" s="8">
        <f t="shared" si="0"/>
        <v>500633.33333333331</v>
      </c>
      <c r="G52" s="8">
        <f t="shared" si="1"/>
        <v>-500633.33333333331</v>
      </c>
      <c r="H52" s="14">
        <v>0.34848484848484851</v>
      </c>
    </row>
    <row r="53" spans="1:8" x14ac:dyDescent="0.35">
      <c r="A53" s="23" t="s">
        <v>3</v>
      </c>
      <c r="B53" s="4" t="s">
        <v>69</v>
      </c>
      <c r="C53" s="2">
        <v>92400</v>
      </c>
      <c r="D53" s="2">
        <v>92400</v>
      </c>
      <c r="E53" s="2">
        <v>0</v>
      </c>
      <c r="F53" s="8">
        <f t="shared" si="0"/>
        <v>30800</v>
      </c>
      <c r="G53" s="8">
        <f t="shared" si="1"/>
        <v>-30800</v>
      </c>
      <c r="H53" s="14">
        <v>0.5</v>
      </c>
    </row>
    <row r="54" spans="1:8" x14ac:dyDescent="0.35">
      <c r="A54" s="23" t="s">
        <v>3</v>
      </c>
      <c r="B54" s="4" t="s">
        <v>54</v>
      </c>
      <c r="C54" s="2">
        <v>1570500</v>
      </c>
      <c r="D54" s="2">
        <v>453700</v>
      </c>
      <c r="E54" s="2">
        <v>0</v>
      </c>
      <c r="F54" s="8">
        <f t="shared" si="0"/>
        <v>151233.33333333334</v>
      </c>
      <c r="G54" s="8">
        <f t="shared" si="1"/>
        <v>-151233.33333333334</v>
      </c>
      <c r="H54" s="14">
        <v>0.14444444444444443</v>
      </c>
    </row>
    <row r="55" spans="1:8" x14ac:dyDescent="0.35">
      <c r="A55" s="28" t="s">
        <v>4</v>
      </c>
      <c r="B55" s="28"/>
      <c r="C55" s="3">
        <v>362331000</v>
      </c>
      <c r="D55" s="3">
        <v>699550900</v>
      </c>
      <c r="E55" s="3">
        <v>0</v>
      </c>
      <c r="F55" s="9">
        <f t="shared" si="0"/>
        <v>233183633.33333334</v>
      </c>
      <c r="G55" s="9">
        <f t="shared" si="1"/>
        <v>-233183633.33333334</v>
      </c>
      <c r="H55" s="15">
        <v>0.96534784492632431</v>
      </c>
    </row>
  </sheetData>
  <mergeCells count="1">
    <mergeCell ref="A55:B55"/>
  </mergeCells>
  <pageMargins left="0.7" right="0.7" top="0.75" bottom="0.75" header="0.3" footer="0.3"/>
  <ignoredErrors>
    <ignoredError sqref="C2:D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6D24F-5D0D-41BC-A455-2883BB42F0FD}">
  <dimension ref="A2:J21"/>
  <sheetViews>
    <sheetView topLeftCell="C1" workbookViewId="0">
      <selection activeCell="G21" sqref="G21"/>
    </sheetView>
  </sheetViews>
  <sheetFormatPr defaultRowHeight="14.5" x14ac:dyDescent="0.35"/>
  <cols>
    <col min="1" max="1" width="12.54296875" style="25" bestFit="1" customWidth="1"/>
    <col min="2" max="2" width="70.6328125" customWidth="1"/>
    <col min="3" max="8" width="12.6328125" customWidth="1"/>
    <col min="9" max="9" width="14.81640625" bestFit="1" customWidth="1"/>
    <col min="10" max="10" width="10.453125" bestFit="1" customWidth="1"/>
  </cols>
  <sheetData>
    <row r="2" spans="1:10" x14ac:dyDescent="0.35">
      <c r="A2" s="26" t="s">
        <v>102</v>
      </c>
      <c r="B2" s="1" t="s">
        <v>75</v>
      </c>
      <c r="C2" s="5" t="s">
        <v>71</v>
      </c>
      <c r="D2" s="5" t="s">
        <v>55</v>
      </c>
      <c r="E2" s="5" t="s">
        <v>56</v>
      </c>
      <c r="F2" s="5" t="s">
        <v>97</v>
      </c>
      <c r="G2" s="6" t="s">
        <v>98</v>
      </c>
      <c r="H2" s="6" t="s">
        <v>99</v>
      </c>
      <c r="I2" s="6" t="s">
        <v>101</v>
      </c>
      <c r="J2" s="13" t="s">
        <v>100</v>
      </c>
    </row>
    <row r="3" spans="1:10" x14ac:dyDescent="0.35">
      <c r="A3" s="27" t="s">
        <v>0</v>
      </c>
      <c r="B3" s="4" t="s">
        <v>5</v>
      </c>
      <c r="C3" s="2">
        <v>0</v>
      </c>
      <c r="D3" s="2">
        <v>2592000</v>
      </c>
      <c r="E3" s="2">
        <v>4608000</v>
      </c>
      <c r="F3" s="8">
        <f t="shared" ref="F3:F21" si="0">(G3/8)*12</f>
        <v>0</v>
      </c>
      <c r="G3" s="2">
        <v>0</v>
      </c>
      <c r="H3" s="8">
        <f t="shared" ref="H3:H21" si="1">E3*1.3</f>
        <v>5990400</v>
      </c>
      <c r="I3" s="8">
        <f t="shared" ref="I3:I21" si="2">G3-H3</f>
        <v>-5990400</v>
      </c>
      <c r="J3" s="19">
        <v>-0.11111111111111116</v>
      </c>
    </row>
    <row r="4" spans="1:10" x14ac:dyDescent="0.35">
      <c r="A4" s="27" t="s">
        <v>0</v>
      </c>
      <c r="B4" s="4" t="s">
        <v>14</v>
      </c>
      <c r="C4" s="2">
        <v>0</v>
      </c>
      <c r="D4" s="2">
        <v>6048000</v>
      </c>
      <c r="E4" s="2">
        <v>20088000</v>
      </c>
      <c r="F4" s="8">
        <f t="shared" si="0"/>
        <v>23868000</v>
      </c>
      <c r="G4" s="2">
        <v>15912000</v>
      </c>
      <c r="H4" s="8">
        <f t="shared" si="1"/>
        <v>26114400</v>
      </c>
      <c r="I4" s="8">
        <f t="shared" si="2"/>
        <v>-10202400</v>
      </c>
      <c r="J4" s="17">
        <v>1.2548003072196621</v>
      </c>
    </row>
    <row r="5" spans="1:10" x14ac:dyDescent="0.35">
      <c r="A5" s="27" t="s">
        <v>0</v>
      </c>
      <c r="B5" s="4" t="s">
        <v>22</v>
      </c>
      <c r="C5" s="2">
        <v>0</v>
      </c>
      <c r="D5" s="2">
        <v>5436000</v>
      </c>
      <c r="E5" s="2">
        <v>11448000</v>
      </c>
      <c r="F5" s="8">
        <f t="shared" si="0"/>
        <v>0</v>
      </c>
      <c r="G5" s="2">
        <v>0</v>
      </c>
      <c r="H5" s="8">
        <f t="shared" si="1"/>
        <v>14882400</v>
      </c>
      <c r="I5" s="8">
        <f t="shared" si="2"/>
        <v>-14882400</v>
      </c>
      <c r="J5" s="17">
        <v>5.2980132450331174E-2</v>
      </c>
    </row>
    <row r="6" spans="1:10" x14ac:dyDescent="0.35">
      <c r="A6" s="27" t="s">
        <v>1</v>
      </c>
      <c r="B6" s="4" t="s">
        <v>72</v>
      </c>
      <c r="C6" s="2">
        <v>0</v>
      </c>
      <c r="D6" s="2">
        <v>8215200</v>
      </c>
      <c r="E6" s="2">
        <v>0</v>
      </c>
      <c r="F6" s="8">
        <f t="shared" si="0"/>
        <v>0</v>
      </c>
      <c r="G6" s="2">
        <v>0</v>
      </c>
      <c r="H6" s="8">
        <f t="shared" si="1"/>
        <v>0</v>
      </c>
      <c r="I6" s="8">
        <f t="shared" si="2"/>
        <v>0</v>
      </c>
      <c r="J6" s="19">
        <v>-0.5</v>
      </c>
    </row>
    <row r="7" spans="1:10" x14ac:dyDescent="0.35">
      <c r="A7" s="27" t="s">
        <v>1</v>
      </c>
      <c r="B7" s="4" t="s">
        <v>26</v>
      </c>
      <c r="C7" s="2">
        <v>0</v>
      </c>
      <c r="D7" s="2">
        <v>0</v>
      </c>
      <c r="E7" s="2">
        <v>39315600</v>
      </c>
      <c r="F7" s="8">
        <f t="shared" si="0"/>
        <v>18484200</v>
      </c>
      <c r="G7" s="2">
        <v>12322800</v>
      </c>
      <c r="H7" s="8">
        <f t="shared" si="1"/>
        <v>51110280</v>
      </c>
      <c r="I7" s="8">
        <f t="shared" si="2"/>
        <v>-38787480</v>
      </c>
      <c r="J7" s="17">
        <v>0.23507462686567165</v>
      </c>
    </row>
    <row r="8" spans="1:10" x14ac:dyDescent="0.35">
      <c r="A8" s="27" t="s">
        <v>1</v>
      </c>
      <c r="B8" s="4" t="s">
        <v>28</v>
      </c>
      <c r="C8" s="2">
        <v>0</v>
      </c>
      <c r="D8" s="2">
        <v>0</v>
      </c>
      <c r="E8" s="2">
        <v>35208000</v>
      </c>
      <c r="F8" s="8">
        <f t="shared" si="0"/>
        <v>19951200</v>
      </c>
      <c r="G8" s="2">
        <v>13300800</v>
      </c>
      <c r="H8" s="8">
        <f t="shared" si="1"/>
        <v>45770400</v>
      </c>
      <c r="I8" s="8">
        <f t="shared" si="2"/>
        <v>-32469600</v>
      </c>
      <c r="J8" s="19">
        <v>-0.43333333333333335</v>
      </c>
    </row>
    <row r="9" spans="1:10" x14ac:dyDescent="0.35">
      <c r="A9" s="27" t="s">
        <v>1</v>
      </c>
      <c r="B9" s="4" t="s">
        <v>73</v>
      </c>
      <c r="C9" s="2">
        <v>0</v>
      </c>
      <c r="D9" s="2">
        <v>5868000</v>
      </c>
      <c r="E9" s="2">
        <v>1173600</v>
      </c>
      <c r="F9" s="8">
        <f t="shared" si="0"/>
        <v>0</v>
      </c>
      <c r="G9" s="2">
        <v>0</v>
      </c>
      <c r="H9" s="8">
        <f t="shared" si="1"/>
        <v>1525680</v>
      </c>
      <c r="I9" s="8">
        <f t="shared" si="2"/>
        <v>-1525680</v>
      </c>
      <c r="J9" s="19">
        <v>-0.9</v>
      </c>
    </row>
    <row r="10" spans="1:10" x14ac:dyDescent="0.35">
      <c r="A10" s="27" t="s">
        <v>1</v>
      </c>
      <c r="B10" s="4" t="s">
        <v>74</v>
      </c>
      <c r="C10" s="2">
        <v>0</v>
      </c>
      <c r="D10" s="2">
        <v>8313000</v>
      </c>
      <c r="E10" s="2">
        <v>0</v>
      </c>
      <c r="F10" s="8">
        <f t="shared" si="0"/>
        <v>0</v>
      </c>
      <c r="G10" s="2">
        <v>0</v>
      </c>
      <c r="H10" s="8">
        <f t="shared" si="1"/>
        <v>0</v>
      </c>
      <c r="I10" s="8">
        <f t="shared" si="2"/>
        <v>0</v>
      </c>
      <c r="J10" s="19">
        <v>-0.5</v>
      </c>
    </row>
    <row r="11" spans="1:10" x14ac:dyDescent="0.35">
      <c r="A11" s="27" t="s">
        <v>2</v>
      </c>
      <c r="B11" s="4" t="s">
        <v>31</v>
      </c>
      <c r="C11" s="2">
        <v>5414400</v>
      </c>
      <c r="D11" s="2">
        <v>10060200</v>
      </c>
      <c r="E11" s="2">
        <v>24564000</v>
      </c>
      <c r="F11" s="8">
        <f t="shared" si="0"/>
        <v>68616000</v>
      </c>
      <c r="G11" s="2">
        <v>45744000</v>
      </c>
      <c r="H11" s="8">
        <f t="shared" si="1"/>
        <v>31933200</v>
      </c>
      <c r="I11" s="8">
        <f t="shared" si="2"/>
        <v>13810800</v>
      </c>
      <c r="J11" s="17">
        <v>1.6175285455713906</v>
      </c>
    </row>
    <row r="12" spans="1:10" x14ac:dyDescent="0.35">
      <c r="A12" s="27" t="s">
        <v>2</v>
      </c>
      <c r="B12" s="4" t="s">
        <v>40</v>
      </c>
      <c r="C12" s="2">
        <v>9336000</v>
      </c>
      <c r="D12" s="2">
        <v>36979200</v>
      </c>
      <c r="E12" s="2">
        <v>3186000</v>
      </c>
      <c r="F12" s="8">
        <f t="shared" si="0"/>
        <v>10360800</v>
      </c>
      <c r="G12" s="2">
        <v>6907200</v>
      </c>
      <c r="H12" s="8">
        <f t="shared" si="1"/>
        <v>4141800</v>
      </c>
      <c r="I12" s="8">
        <f t="shared" si="2"/>
        <v>2765400</v>
      </c>
      <c r="J12" s="17">
        <v>0.66906697159300921</v>
      </c>
    </row>
    <row r="13" spans="1:10" x14ac:dyDescent="0.35">
      <c r="A13" s="27" t="s">
        <v>2</v>
      </c>
      <c r="B13" s="4" t="s">
        <v>41</v>
      </c>
      <c r="C13" s="2">
        <v>9504000</v>
      </c>
      <c r="D13" s="2">
        <v>16598400</v>
      </c>
      <c r="E13" s="2">
        <v>8824800</v>
      </c>
      <c r="F13" s="8">
        <f t="shared" si="0"/>
        <v>0</v>
      </c>
      <c r="G13" s="2">
        <v>0</v>
      </c>
      <c r="H13" s="8">
        <f t="shared" si="1"/>
        <v>11472240</v>
      </c>
      <c r="I13" s="8">
        <f t="shared" si="2"/>
        <v>-11472240</v>
      </c>
      <c r="J13" s="19">
        <v>-0.73416714864083288</v>
      </c>
    </row>
    <row r="14" spans="1:10" x14ac:dyDescent="0.35">
      <c r="A14" s="27" t="s">
        <v>3</v>
      </c>
      <c r="B14" s="4" t="s">
        <v>43</v>
      </c>
      <c r="C14" s="2">
        <v>0</v>
      </c>
      <c r="D14" s="2">
        <v>1915200</v>
      </c>
      <c r="E14" s="2">
        <v>1239000</v>
      </c>
      <c r="F14" s="8">
        <f t="shared" si="0"/>
        <v>3736800</v>
      </c>
      <c r="G14" s="2">
        <v>2491200</v>
      </c>
      <c r="H14" s="8">
        <f t="shared" si="1"/>
        <v>1610700</v>
      </c>
      <c r="I14" s="8">
        <f t="shared" si="2"/>
        <v>880500</v>
      </c>
      <c r="J14" s="17">
        <v>0.83145522705067754</v>
      </c>
    </row>
    <row r="15" spans="1:10" x14ac:dyDescent="0.35">
      <c r="A15" s="27" t="s">
        <v>3</v>
      </c>
      <c r="B15" s="4" t="s">
        <v>47</v>
      </c>
      <c r="C15" s="2">
        <v>0</v>
      </c>
      <c r="D15" s="2">
        <v>2058000</v>
      </c>
      <c r="E15" s="2">
        <v>2884000</v>
      </c>
      <c r="F15" s="8">
        <f t="shared" si="0"/>
        <v>2268000</v>
      </c>
      <c r="G15" s="2">
        <v>1512000</v>
      </c>
      <c r="H15" s="8">
        <f t="shared" si="1"/>
        <v>3749200</v>
      </c>
      <c r="I15" s="8">
        <f t="shared" si="2"/>
        <v>-2237200</v>
      </c>
      <c r="J15" s="17">
        <v>9.3884155603989161E-2</v>
      </c>
    </row>
    <row r="16" spans="1:10" x14ac:dyDescent="0.35">
      <c r="A16" s="27" t="s">
        <v>3</v>
      </c>
      <c r="B16" s="4" t="s">
        <v>48</v>
      </c>
      <c r="C16" s="2">
        <v>0</v>
      </c>
      <c r="D16" s="2">
        <v>1411200</v>
      </c>
      <c r="E16" s="2">
        <v>1982400</v>
      </c>
      <c r="F16" s="8">
        <f t="shared" si="0"/>
        <v>2343600</v>
      </c>
      <c r="G16" s="2">
        <v>1562400</v>
      </c>
      <c r="H16" s="8">
        <f t="shared" si="1"/>
        <v>2577120</v>
      </c>
      <c r="I16" s="8">
        <f t="shared" si="2"/>
        <v>-1014720</v>
      </c>
      <c r="J16" s="17">
        <v>0.29348264729620654</v>
      </c>
    </row>
    <row r="17" spans="1:10" x14ac:dyDescent="0.35">
      <c r="A17" s="27" t="s">
        <v>3</v>
      </c>
      <c r="B17" s="4" t="s">
        <v>49</v>
      </c>
      <c r="C17" s="2">
        <v>0</v>
      </c>
      <c r="D17" s="2">
        <v>10440000</v>
      </c>
      <c r="E17" s="2">
        <v>5186400</v>
      </c>
      <c r="F17" s="8">
        <f t="shared" si="0"/>
        <v>0</v>
      </c>
      <c r="G17" s="2">
        <v>0</v>
      </c>
      <c r="H17" s="8">
        <f t="shared" si="1"/>
        <v>6742320</v>
      </c>
      <c r="I17" s="8">
        <f t="shared" si="2"/>
        <v>-6742320</v>
      </c>
      <c r="J17" s="19">
        <v>-0.75160919540229887</v>
      </c>
    </row>
    <row r="18" spans="1:10" x14ac:dyDescent="0.35">
      <c r="A18" s="27" t="s">
        <v>3</v>
      </c>
      <c r="B18" s="4" t="s">
        <v>52</v>
      </c>
      <c r="C18" s="2">
        <v>0</v>
      </c>
      <c r="D18" s="2">
        <v>4758000</v>
      </c>
      <c r="E18" s="2">
        <v>5791000</v>
      </c>
      <c r="F18" s="8">
        <f t="shared" si="0"/>
        <v>13227000</v>
      </c>
      <c r="G18" s="2">
        <v>8818000</v>
      </c>
      <c r="H18" s="8">
        <f t="shared" si="1"/>
        <v>7528300</v>
      </c>
      <c r="I18" s="8">
        <f t="shared" si="2"/>
        <v>1289700</v>
      </c>
      <c r="J18" s="17">
        <v>0.75058475164278127</v>
      </c>
    </row>
    <row r="19" spans="1:10" x14ac:dyDescent="0.35">
      <c r="A19" s="27" t="s">
        <v>3</v>
      </c>
      <c r="B19" s="4" t="s">
        <v>53</v>
      </c>
      <c r="C19" s="2">
        <v>0</v>
      </c>
      <c r="D19" s="2">
        <v>10303200</v>
      </c>
      <c r="E19" s="2">
        <v>14433600</v>
      </c>
      <c r="F19" s="8">
        <f t="shared" si="0"/>
        <v>0</v>
      </c>
      <c r="G19" s="2">
        <v>0</v>
      </c>
      <c r="H19" s="8">
        <f t="shared" si="1"/>
        <v>18763680</v>
      </c>
      <c r="I19" s="8">
        <f t="shared" si="2"/>
        <v>-18763680</v>
      </c>
      <c r="J19" s="19">
        <v>-0.29955741905427435</v>
      </c>
    </row>
    <row r="20" spans="1:10" x14ac:dyDescent="0.35">
      <c r="A20" s="27" t="s">
        <v>3</v>
      </c>
      <c r="B20" s="4" t="s">
        <v>54</v>
      </c>
      <c r="C20" s="2">
        <v>0</v>
      </c>
      <c r="D20" s="2">
        <v>2094000</v>
      </c>
      <c r="E20" s="2">
        <v>2587000</v>
      </c>
      <c r="F20" s="8">
        <f t="shared" si="0"/>
        <v>5806500</v>
      </c>
      <c r="G20" s="2">
        <v>3871000</v>
      </c>
      <c r="H20" s="8">
        <f t="shared" si="1"/>
        <v>3363100</v>
      </c>
      <c r="I20" s="8">
        <f t="shared" si="2"/>
        <v>507900</v>
      </c>
      <c r="J20" s="17">
        <v>0.73996313209571485</v>
      </c>
    </row>
    <row r="21" spans="1:10" x14ac:dyDescent="0.35">
      <c r="A21" s="28" t="s">
        <v>4</v>
      </c>
      <c r="B21" s="28"/>
      <c r="C21" s="3">
        <v>24254400</v>
      </c>
      <c r="D21" s="3">
        <v>133089600</v>
      </c>
      <c r="E21" s="3">
        <v>182519400</v>
      </c>
      <c r="F21" s="9">
        <f t="shared" si="0"/>
        <v>168662100</v>
      </c>
      <c r="G21" s="3">
        <v>112441400</v>
      </c>
      <c r="H21" s="9">
        <f t="shared" si="1"/>
        <v>237275220</v>
      </c>
      <c r="I21" s="9">
        <f t="shared" si="2"/>
        <v>-124833820</v>
      </c>
      <c r="J21" s="18">
        <v>0.14774004166013521</v>
      </c>
    </row>
  </sheetData>
  <mergeCells count="1">
    <mergeCell ref="A21:B21"/>
  </mergeCells>
  <pageMargins left="0.7" right="0.7" top="0.75" bottom="0.75" header="0.3" footer="0.3"/>
  <ignoredErrors>
    <ignoredError sqref="C2:E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72898-53C7-4108-B3B0-E49B82FB13E7}">
  <dimension ref="A2:I67"/>
  <sheetViews>
    <sheetView workbookViewId="0">
      <selection activeCell="E67" sqref="E67"/>
    </sheetView>
  </sheetViews>
  <sheetFormatPr defaultRowHeight="14.5" x14ac:dyDescent="0.35"/>
  <cols>
    <col min="1" max="1" width="12.54296875" bestFit="1" customWidth="1"/>
    <col min="2" max="2" width="70.6328125" customWidth="1"/>
    <col min="3" max="6" width="12.6328125" customWidth="1"/>
    <col min="7" max="7" width="14.81640625" bestFit="1" customWidth="1"/>
    <col min="8" max="8" width="12.6328125" customWidth="1"/>
    <col min="9" max="9" width="12.1796875" bestFit="1" customWidth="1"/>
  </cols>
  <sheetData>
    <row r="2" spans="1:9" x14ac:dyDescent="0.35">
      <c r="A2" s="24" t="s">
        <v>102</v>
      </c>
      <c r="B2" s="1" t="s">
        <v>83</v>
      </c>
      <c r="C2" s="5" t="s">
        <v>56</v>
      </c>
      <c r="D2" s="6" t="s">
        <v>97</v>
      </c>
      <c r="E2" s="6" t="s">
        <v>98</v>
      </c>
      <c r="F2" s="6" t="s">
        <v>99</v>
      </c>
      <c r="G2" s="6" t="s">
        <v>101</v>
      </c>
      <c r="H2" s="13" t="s">
        <v>100</v>
      </c>
    </row>
    <row r="3" spans="1:9" x14ac:dyDescent="0.35">
      <c r="A3" s="23" t="s">
        <v>0</v>
      </c>
      <c r="B3" s="4" t="s">
        <v>5</v>
      </c>
      <c r="C3" s="2">
        <v>1040000</v>
      </c>
      <c r="D3" s="8">
        <f t="shared" ref="D3:D64" si="0">(E3/8)*12</f>
        <v>5272500</v>
      </c>
      <c r="E3" s="2">
        <v>3515000</v>
      </c>
      <c r="F3" s="8">
        <v>5272500</v>
      </c>
      <c r="G3" s="8">
        <f t="shared" ref="G3:G64" si="1">E3-F3</f>
        <v>-1757500</v>
      </c>
      <c r="H3" s="14">
        <v>4.0697115384615383</v>
      </c>
      <c r="I3" s="20"/>
    </row>
    <row r="4" spans="1:9" x14ac:dyDescent="0.35">
      <c r="A4" s="23" t="s">
        <v>0</v>
      </c>
      <c r="B4" s="4" t="s">
        <v>6</v>
      </c>
      <c r="C4" s="2">
        <v>707000</v>
      </c>
      <c r="D4" s="8">
        <f t="shared" si="0"/>
        <v>5026500</v>
      </c>
      <c r="E4" s="2">
        <v>3351000</v>
      </c>
      <c r="F4" s="8">
        <v>5026500</v>
      </c>
      <c r="G4" s="8">
        <f t="shared" si="1"/>
        <v>-1675500</v>
      </c>
      <c r="H4" s="14">
        <v>6.1096181046676099</v>
      </c>
      <c r="I4" s="20"/>
    </row>
    <row r="5" spans="1:9" x14ac:dyDescent="0.35">
      <c r="A5" s="23" t="s">
        <v>0</v>
      </c>
      <c r="B5" s="4" t="s">
        <v>7</v>
      </c>
      <c r="C5" s="2">
        <v>13950000</v>
      </c>
      <c r="D5" s="8">
        <f t="shared" si="0"/>
        <v>0</v>
      </c>
      <c r="E5" s="2">
        <v>0</v>
      </c>
      <c r="F5" s="8">
        <v>18135000</v>
      </c>
      <c r="G5" s="8">
        <f t="shared" si="1"/>
        <v>-18135000</v>
      </c>
      <c r="H5" s="16">
        <v>-1</v>
      </c>
      <c r="I5" s="20"/>
    </row>
    <row r="6" spans="1:9" x14ac:dyDescent="0.35">
      <c r="A6" s="23" t="s">
        <v>0</v>
      </c>
      <c r="B6" s="4" t="s">
        <v>57</v>
      </c>
      <c r="C6" s="2">
        <v>980000</v>
      </c>
      <c r="D6" s="8">
        <f t="shared" si="0"/>
        <v>3858000</v>
      </c>
      <c r="E6" s="2">
        <v>2572000</v>
      </c>
      <c r="F6" s="8">
        <v>3858000</v>
      </c>
      <c r="G6" s="8">
        <f t="shared" si="1"/>
        <v>-1286000</v>
      </c>
      <c r="H6" s="14">
        <v>2.9367346938775509</v>
      </c>
      <c r="I6" s="20"/>
    </row>
    <row r="7" spans="1:9" x14ac:dyDescent="0.35">
      <c r="A7" s="23" t="s">
        <v>0</v>
      </c>
      <c r="B7" s="4" t="s">
        <v>8</v>
      </c>
      <c r="C7" s="2">
        <v>11615000</v>
      </c>
      <c r="D7" s="8">
        <f t="shared" si="0"/>
        <v>15400500</v>
      </c>
      <c r="E7" s="2">
        <v>10267000</v>
      </c>
      <c r="F7" s="8">
        <v>15400500</v>
      </c>
      <c r="G7" s="8">
        <f t="shared" si="1"/>
        <v>-5133500</v>
      </c>
      <c r="H7" s="14">
        <v>0.32591476538958242</v>
      </c>
      <c r="I7" s="20"/>
    </row>
    <row r="8" spans="1:9" x14ac:dyDescent="0.35">
      <c r="A8" s="23" t="s">
        <v>0</v>
      </c>
      <c r="B8" s="4" t="s">
        <v>9</v>
      </c>
      <c r="C8" s="2">
        <v>1100000</v>
      </c>
      <c r="D8" s="8">
        <f t="shared" si="0"/>
        <v>1558500</v>
      </c>
      <c r="E8" s="2">
        <v>1039000</v>
      </c>
      <c r="F8" s="8">
        <v>1558500</v>
      </c>
      <c r="G8" s="8">
        <f t="shared" si="1"/>
        <v>-519500</v>
      </c>
      <c r="H8" s="14">
        <v>0.41681818181818175</v>
      </c>
      <c r="I8" s="20"/>
    </row>
    <row r="9" spans="1:9" x14ac:dyDescent="0.35">
      <c r="A9" s="23" t="s">
        <v>0</v>
      </c>
      <c r="B9" s="4" t="s">
        <v>58</v>
      </c>
      <c r="C9" s="2">
        <v>785000</v>
      </c>
      <c r="D9" s="8">
        <f t="shared" si="0"/>
        <v>2425500</v>
      </c>
      <c r="E9" s="2">
        <v>1617000</v>
      </c>
      <c r="F9" s="8">
        <v>2425500</v>
      </c>
      <c r="G9" s="8">
        <f t="shared" si="1"/>
        <v>-808500</v>
      </c>
      <c r="H9" s="14">
        <v>2.0898089171974523</v>
      </c>
      <c r="I9" s="20"/>
    </row>
    <row r="10" spans="1:9" x14ac:dyDescent="0.35">
      <c r="A10" s="23" t="s">
        <v>0</v>
      </c>
      <c r="B10" s="4" t="s">
        <v>10</v>
      </c>
      <c r="C10" s="2">
        <v>1334000</v>
      </c>
      <c r="D10" s="8">
        <f t="shared" si="0"/>
        <v>3388500</v>
      </c>
      <c r="E10" s="2">
        <v>2259000</v>
      </c>
      <c r="F10" s="8">
        <v>3388500</v>
      </c>
      <c r="G10" s="8">
        <f t="shared" si="1"/>
        <v>-1129500</v>
      </c>
      <c r="H10" s="14">
        <v>1.5401049475262369</v>
      </c>
      <c r="I10" s="20"/>
    </row>
    <row r="11" spans="1:9" x14ac:dyDescent="0.35">
      <c r="A11" s="23" t="s">
        <v>0</v>
      </c>
      <c r="B11" s="4" t="s">
        <v>11</v>
      </c>
      <c r="C11" s="2">
        <v>1262000</v>
      </c>
      <c r="D11" s="8">
        <f t="shared" si="0"/>
        <v>6105000</v>
      </c>
      <c r="E11" s="2">
        <v>4070000</v>
      </c>
      <c r="F11" s="8">
        <v>6105000</v>
      </c>
      <c r="G11" s="8">
        <f t="shared" si="1"/>
        <v>-2035000</v>
      </c>
      <c r="H11" s="14">
        <v>3.8375594294770208</v>
      </c>
      <c r="I11" s="20"/>
    </row>
    <row r="12" spans="1:9" x14ac:dyDescent="0.35">
      <c r="A12" s="23" t="s">
        <v>0</v>
      </c>
      <c r="B12" s="4" t="s">
        <v>59</v>
      </c>
      <c r="C12" s="2">
        <v>1496000</v>
      </c>
      <c r="D12" s="8">
        <f t="shared" si="0"/>
        <v>0</v>
      </c>
      <c r="E12" s="2">
        <v>0</v>
      </c>
      <c r="F12" s="8">
        <v>1944800</v>
      </c>
      <c r="G12" s="8">
        <f t="shared" si="1"/>
        <v>-1944800</v>
      </c>
      <c r="H12" s="16">
        <v>-1</v>
      </c>
      <c r="I12" s="20"/>
    </row>
    <row r="13" spans="1:9" x14ac:dyDescent="0.35">
      <c r="A13" s="23" t="s">
        <v>0</v>
      </c>
      <c r="B13" s="4" t="s">
        <v>12</v>
      </c>
      <c r="C13" s="2">
        <v>1488000</v>
      </c>
      <c r="D13" s="8">
        <f t="shared" si="0"/>
        <v>7671000</v>
      </c>
      <c r="E13" s="2">
        <v>5114000</v>
      </c>
      <c r="F13" s="8">
        <v>7671000</v>
      </c>
      <c r="G13" s="8">
        <f t="shared" si="1"/>
        <v>-2557000</v>
      </c>
      <c r="H13" s="14">
        <v>4.155241935483871</v>
      </c>
      <c r="I13" s="20"/>
    </row>
    <row r="14" spans="1:9" x14ac:dyDescent="0.35">
      <c r="A14" s="23" t="s">
        <v>0</v>
      </c>
      <c r="B14" s="4" t="s">
        <v>13</v>
      </c>
      <c r="C14" s="2">
        <v>2790000</v>
      </c>
      <c r="D14" s="8">
        <f t="shared" si="0"/>
        <v>0</v>
      </c>
      <c r="E14" s="2">
        <v>0</v>
      </c>
      <c r="F14" s="8">
        <v>3627000</v>
      </c>
      <c r="G14" s="8">
        <f t="shared" si="1"/>
        <v>-3627000</v>
      </c>
      <c r="H14" s="16">
        <v>-1</v>
      </c>
      <c r="I14" s="20"/>
    </row>
    <row r="15" spans="1:9" x14ac:dyDescent="0.35">
      <c r="A15" s="23" t="s">
        <v>0</v>
      </c>
      <c r="B15" s="4" t="s">
        <v>14</v>
      </c>
      <c r="C15" s="2">
        <v>3450000</v>
      </c>
      <c r="D15" s="8">
        <f t="shared" si="0"/>
        <v>11340000</v>
      </c>
      <c r="E15" s="2">
        <v>7560000</v>
      </c>
      <c r="F15" s="8">
        <v>11340000</v>
      </c>
      <c r="G15" s="8">
        <f t="shared" si="1"/>
        <v>-3780000</v>
      </c>
      <c r="H15" s="14">
        <v>2.2869565217391306</v>
      </c>
      <c r="I15" s="20"/>
    </row>
    <row r="16" spans="1:9" x14ac:dyDescent="0.35">
      <c r="A16" s="23" t="s">
        <v>0</v>
      </c>
      <c r="B16" s="4" t="s">
        <v>15</v>
      </c>
      <c r="C16" s="2">
        <v>2790000</v>
      </c>
      <c r="D16" s="8">
        <f t="shared" si="0"/>
        <v>0</v>
      </c>
      <c r="E16" s="2">
        <v>0</v>
      </c>
      <c r="F16" s="8">
        <v>3627000</v>
      </c>
      <c r="G16" s="8">
        <f t="shared" si="1"/>
        <v>-3627000</v>
      </c>
      <c r="H16" s="16">
        <v>-1</v>
      </c>
      <c r="I16" s="20"/>
    </row>
    <row r="17" spans="1:9" x14ac:dyDescent="0.35">
      <c r="A17" s="23" t="s">
        <v>0</v>
      </c>
      <c r="B17" s="4" t="s">
        <v>16</v>
      </c>
      <c r="C17" s="2">
        <v>2142000</v>
      </c>
      <c r="D17" s="8">
        <f t="shared" si="0"/>
        <v>8283000</v>
      </c>
      <c r="E17" s="2">
        <v>5522000</v>
      </c>
      <c r="F17" s="8">
        <v>8283000</v>
      </c>
      <c r="G17" s="8">
        <f t="shared" si="1"/>
        <v>-2761000</v>
      </c>
      <c r="H17" s="14">
        <v>2.8669467787114846</v>
      </c>
      <c r="I17" s="20"/>
    </row>
    <row r="18" spans="1:9" x14ac:dyDescent="0.35">
      <c r="A18" s="23" t="s">
        <v>0</v>
      </c>
      <c r="B18" s="4" t="s">
        <v>17</v>
      </c>
      <c r="C18" s="2">
        <v>12376000</v>
      </c>
      <c r="D18" s="8">
        <f t="shared" si="0"/>
        <v>13942500</v>
      </c>
      <c r="E18" s="2">
        <v>9295000</v>
      </c>
      <c r="F18" s="8">
        <v>16088800</v>
      </c>
      <c r="G18" s="8">
        <f t="shared" si="1"/>
        <v>-6793800</v>
      </c>
      <c r="H18" s="14">
        <v>0.12657563025210083</v>
      </c>
      <c r="I18" s="20"/>
    </row>
    <row r="19" spans="1:9" x14ac:dyDescent="0.35">
      <c r="A19" s="23" t="s">
        <v>0</v>
      </c>
      <c r="B19" s="4" t="s">
        <v>18</v>
      </c>
      <c r="C19" s="2">
        <v>4650000</v>
      </c>
      <c r="D19" s="8">
        <f t="shared" si="0"/>
        <v>13680000</v>
      </c>
      <c r="E19" s="2">
        <v>9120000</v>
      </c>
      <c r="F19" s="8">
        <v>13680000</v>
      </c>
      <c r="G19" s="8">
        <f t="shared" si="1"/>
        <v>-4560000</v>
      </c>
      <c r="H19" s="14">
        <v>1.9419354838709677</v>
      </c>
      <c r="I19" s="20"/>
    </row>
    <row r="20" spans="1:9" x14ac:dyDescent="0.35">
      <c r="A20" s="23" t="s">
        <v>0</v>
      </c>
      <c r="B20" s="4" t="s">
        <v>19</v>
      </c>
      <c r="C20" s="2">
        <v>67294000</v>
      </c>
      <c r="D20" s="8">
        <f t="shared" si="0"/>
        <v>114951000</v>
      </c>
      <c r="E20" s="2">
        <v>76634000</v>
      </c>
      <c r="F20" s="8">
        <v>114951000</v>
      </c>
      <c r="G20" s="8">
        <f t="shared" si="1"/>
        <v>-38317000</v>
      </c>
      <c r="H20" s="14">
        <v>0.70819092341070533</v>
      </c>
      <c r="I20" s="20"/>
    </row>
    <row r="21" spans="1:9" x14ac:dyDescent="0.35">
      <c r="A21" s="23" t="s">
        <v>0</v>
      </c>
      <c r="B21" s="4" t="s">
        <v>20</v>
      </c>
      <c r="C21" s="2">
        <v>29774000</v>
      </c>
      <c r="D21" s="8">
        <f t="shared" si="0"/>
        <v>41190000</v>
      </c>
      <c r="E21" s="2">
        <v>27460000</v>
      </c>
      <c r="F21" s="8">
        <v>41190000</v>
      </c>
      <c r="G21" s="8">
        <f t="shared" si="1"/>
        <v>-13730000</v>
      </c>
      <c r="H21" s="14">
        <v>0.38342177738966887</v>
      </c>
      <c r="I21" s="20"/>
    </row>
    <row r="22" spans="1:9" x14ac:dyDescent="0.35">
      <c r="A22" s="23" t="s">
        <v>0</v>
      </c>
      <c r="B22" s="4" t="s">
        <v>21</v>
      </c>
      <c r="C22" s="2">
        <v>2975000</v>
      </c>
      <c r="D22" s="8">
        <f t="shared" si="0"/>
        <v>8919000</v>
      </c>
      <c r="E22" s="2">
        <v>5946000</v>
      </c>
      <c r="F22" s="8">
        <v>8919000</v>
      </c>
      <c r="G22" s="8">
        <f t="shared" si="1"/>
        <v>-2973000</v>
      </c>
      <c r="H22" s="14">
        <v>1.9979831932773111</v>
      </c>
      <c r="I22" s="20"/>
    </row>
    <row r="23" spans="1:9" x14ac:dyDescent="0.35">
      <c r="A23" s="23" t="s">
        <v>0</v>
      </c>
      <c r="B23" s="4" t="s">
        <v>22</v>
      </c>
      <c r="C23" s="2">
        <v>7776000</v>
      </c>
      <c r="D23" s="8">
        <f t="shared" si="0"/>
        <v>14346000</v>
      </c>
      <c r="E23" s="2">
        <v>9564000</v>
      </c>
      <c r="F23" s="8">
        <v>14346000</v>
      </c>
      <c r="G23" s="8">
        <f t="shared" si="1"/>
        <v>-4782000</v>
      </c>
      <c r="H23" s="14">
        <v>0.84490740740740744</v>
      </c>
      <c r="I23" s="20"/>
    </row>
    <row r="24" spans="1:9" x14ac:dyDescent="0.35">
      <c r="A24" s="23" t="s">
        <v>0</v>
      </c>
      <c r="B24" s="4" t="s">
        <v>23</v>
      </c>
      <c r="C24" s="2">
        <v>1105000</v>
      </c>
      <c r="D24" s="8">
        <f t="shared" si="0"/>
        <v>501000</v>
      </c>
      <c r="E24" s="2">
        <v>334000</v>
      </c>
      <c r="F24" s="8">
        <v>1436500</v>
      </c>
      <c r="G24" s="8">
        <f t="shared" si="1"/>
        <v>-1102500</v>
      </c>
      <c r="H24" s="16">
        <v>-0.54660633484162902</v>
      </c>
      <c r="I24" s="20"/>
    </row>
    <row r="25" spans="1:9" x14ac:dyDescent="0.35">
      <c r="A25" s="23" t="s">
        <v>0</v>
      </c>
      <c r="B25" s="4" t="s">
        <v>24</v>
      </c>
      <c r="C25" s="2">
        <v>9347000</v>
      </c>
      <c r="D25" s="8">
        <f t="shared" si="0"/>
        <v>14544000</v>
      </c>
      <c r="E25" s="2">
        <v>9696000</v>
      </c>
      <c r="F25" s="8">
        <v>14544000</v>
      </c>
      <c r="G25" s="8">
        <f t="shared" si="1"/>
        <v>-4848000</v>
      </c>
      <c r="H25" s="14">
        <v>0.55600727506151704</v>
      </c>
      <c r="I25" s="20"/>
    </row>
    <row r="26" spans="1:9" x14ac:dyDescent="0.35">
      <c r="A26" s="23" t="s">
        <v>0</v>
      </c>
      <c r="B26" s="4" t="s">
        <v>25</v>
      </c>
      <c r="C26" s="2">
        <v>6180000</v>
      </c>
      <c r="D26" s="8">
        <f t="shared" si="0"/>
        <v>4620000</v>
      </c>
      <c r="E26" s="2">
        <v>3080000</v>
      </c>
      <c r="F26" s="8">
        <v>8034000</v>
      </c>
      <c r="G26" s="8">
        <f t="shared" si="1"/>
        <v>-4954000</v>
      </c>
      <c r="H26" s="16">
        <v>-0.25242718446601942</v>
      </c>
      <c r="I26" s="20"/>
    </row>
    <row r="27" spans="1:9" x14ac:dyDescent="0.35">
      <c r="A27" s="23" t="s">
        <v>2</v>
      </c>
      <c r="B27" s="4" t="s">
        <v>31</v>
      </c>
      <c r="C27" s="2">
        <v>2234100</v>
      </c>
      <c r="D27" s="8">
        <f t="shared" si="0"/>
        <v>48358200</v>
      </c>
      <c r="E27" s="2">
        <v>32238800</v>
      </c>
      <c r="F27" s="8">
        <v>48358200</v>
      </c>
      <c r="G27" s="8">
        <f t="shared" si="1"/>
        <v>-16119400</v>
      </c>
      <c r="H27" s="14">
        <v>20.64549483013294</v>
      </c>
      <c r="I27" s="20"/>
    </row>
    <row r="28" spans="1:9" x14ac:dyDescent="0.35">
      <c r="A28" s="23" t="s">
        <v>2</v>
      </c>
      <c r="B28" s="4" t="s">
        <v>60</v>
      </c>
      <c r="C28" s="2">
        <v>954500</v>
      </c>
      <c r="D28" s="8">
        <f t="shared" si="0"/>
        <v>4152900</v>
      </c>
      <c r="E28" s="2">
        <v>2768600</v>
      </c>
      <c r="F28" s="8">
        <v>4152900</v>
      </c>
      <c r="G28" s="8">
        <f t="shared" si="1"/>
        <v>-1384300</v>
      </c>
      <c r="H28" s="14">
        <v>3.3508643268727081</v>
      </c>
      <c r="I28" s="20"/>
    </row>
    <row r="29" spans="1:9" x14ac:dyDescent="0.35">
      <c r="A29" s="23" t="s">
        <v>2</v>
      </c>
      <c r="B29" s="4" t="s">
        <v>76</v>
      </c>
      <c r="C29" s="2">
        <v>5272500</v>
      </c>
      <c r="D29" s="8">
        <f t="shared" si="0"/>
        <v>4745250</v>
      </c>
      <c r="E29" s="2">
        <v>3163500</v>
      </c>
      <c r="F29" s="8">
        <v>6854250</v>
      </c>
      <c r="G29" s="8">
        <f t="shared" si="1"/>
        <v>-3690750</v>
      </c>
      <c r="H29" s="16">
        <v>-9.9999999999999978E-2</v>
      </c>
      <c r="I29" s="20"/>
    </row>
    <row r="30" spans="1:9" x14ac:dyDescent="0.35">
      <c r="A30" s="23" t="s">
        <v>2</v>
      </c>
      <c r="B30" s="4" t="s">
        <v>77</v>
      </c>
      <c r="C30" s="2"/>
      <c r="D30" s="8">
        <f t="shared" si="0"/>
        <v>3358500</v>
      </c>
      <c r="E30" s="2">
        <v>2239000</v>
      </c>
      <c r="F30" s="8">
        <v>3358500</v>
      </c>
      <c r="G30" s="8">
        <f t="shared" si="1"/>
        <v>-1119500</v>
      </c>
      <c r="H30" s="14">
        <v>1</v>
      </c>
      <c r="I30" s="20"/>
    </row>
    <row r="31" spans="1:9" x14ac:dyDescent="0.35">
      <c r="A31" s="23" t="s">
        <v>2</v>
      </c>
      <c r="B31" s="4" t="s">
        <v>32</v>
      </c>
      <c r="C31" s="2">
        <v>12141200</v>
      </c>
      <c r="D31" s="8">
        <f t="shared" si="0"/>
        <v>41878350</v>
      </c>
      <c r="E31" s="2">
        <v>27918900</v>
      </c>
      <c r="F31" s="8">
        <v>41878350</v>
      </c>
      <c r="G31" s="8">
        <f t="shared" si="1"/>
        <v>-13959450</v>
      </c>
      <c r="H31" s="14">
        <v>2.4492760188449245</v>
      </c>
      <c r="I31" s="20"/>
    </row>
    <row r="32" spans="1:9" x14ac:dyDescent="0.35">
      <c r="A32" s="23" t="s">
        <v>2</v>
      </c>
      <c r="B32" s="4" t="s">
        <v>33</v>
      </c>
      <c r="C32" s="2">
        <v>852800</v>
      </c>
      <c r="D32" s="8">
        <f t="shared" si="0"/>
        <v>2558400</v>
      </c>
      <c r="E32" s="2">
        <v>1705600</v>
      </c>
      <c r="F32" s="8">
        <v>2558400</v>
      </c>
      <c r="G32" s="8">
        <f t="shared" si="1"/>
        <v>-852800</v>
      </c>
      <c r="H32" s="14">
        <v>2</v>
      </c>
      <c r="I32" s="20"/>
    </row>
    <row r="33" spans="1:9" x14ac:dyDescent="0.35">
      <c r="A33" s="23" t="s">
        <v>2</v>
      </c>
      <c r="B33" s="4" t="s">
        <v>34</v>
      </c>
      <c r="C33" s="2">
        <v>9017200</v>
      </c>
      <c r="D33" s="8">
        <f t="shared" si="0"/>
        <v>33031650</v>
      </c>
      <c r="E33" s="2">
        <v>22021100</v>
      </c>
      <c r="F33" s="8">
        <v>33031650</v>
      </c>
      <c r="G33" s="8">
        <f t="shared" si="1"/>
        <v>-11010550</v>
      </c>
      <c r="H33" s="14">
        <v>2.6631825843942689</v>
      </c>
      <c r="I33" s="20"/>
    </row>
    <row r="34" spans="1:9" x14ac:dyDescent="0.35">
      <c r="A34" s="23" t="s">
        <v>2</v>
      </c>
      <c r="B34" s="4" t="s">
        <v>78</v>
      </c>
      <c r="C34" s="2">
        <v>4428900</v>
      </c>
      <c r="D34" s="8">
        <f t="shared" si="0"/>
        <v>0</v>
      </c>
      <c r="E34" s="2">
        <v>0</v>
      </c>
      <c r="F34" s="8">
        <v>5757570</v>
      </c>
      <c r="G34" s="8">
        <f t="shared" si="1"/>
        <v>-5757570</v>
      </c>
      <c r="H34" s="16">
        <v>-1</v>
      </c>
      <c r="I34" s="20"/>
    </row>
    <row r="35" spans="1:9" x14ac:dyDescent="0.35">
      <c r="A35" s="23" t="s">
        <v>2</v>
      </c>
      <c r="B35" s="4" t="s">
        <v>35</v>
      </c>
      <c r="C35" s="2">
        <v>25489600</v>
      </c>
      <c r="D35" s="8">
        <f t="shared" si="0"/>
        <v>260397000</v>
      </c>
      <c r="E35" s="2">
        <v>173598000</v>
      </c>
      <c r="F35" s="8">
        <v>260397000</v>
      </c>
      <c r="G35" s="8">
        <f t="shared" si="1"/>
        <v>-86799000</v>
      </c>
      <c r="H35" s="14">
        <v>9.2158135082543478</v>
      </c>
      <c r="I35" s="20"/>
    </row>
    <row r="36" spans="1:9" x14ac:dyDescent="0.35">
      <c r="A36" s="23" t="s">
        <v>2</v>
      </c>
      <c r="B36" s="4" t="s">
        <v>79</v>
      </c>
      <c r="C36" s="2"/>
      <c r="D36" s="8">
        <f t="shared" si="0"/>
        <v>2020500</v>
      </c>
      <c r="E36" s="2">
        <v>1347000</v>
      </c>
      <c r="F36" s="8">
        <v>2020500</v>
      </c>
      <c r="G36" s="8">
        <f t="shared" si="1"/>
        <v>-673500</v>
      </c>
      <c r="H36" s="14">
        <v>1</v>
      </c>
      <c r="I36" s="20"/>
    </row>
    <row r="37" spans="1:9" x14ac:dyDescent="0.35">
      <c r="A37" s="23" t="s">
        <v>2</v>
      </c>
      <c r="B37" s="4" t="s">
        <v>61</v>
      </c>
      <c r="C37" s="2">
        <v>1075200</v>
      </c>
      <c r="D37" s="8">
        <f t="shared" si="0"/>
        <v>6118350</v>
      </c>
      <c r="E37" s="2">
        <v>4078900</v>
      </c>
      <c r="F37" s="8">
        <v>6118350</v>
      </c>
      <c r="G37" s="8">
        <f t="shared" si="1"/>
        <v>-2039450</v>
      </c>
      <c r="H37" s="14">
        <v>4.6904296875</v>
      </c>
      <c r="I37" s="20"/>
    </row>
    <row r="38" spans="1:9" x14ac:dyDescent="0.35">
      <c r="A38" s="23" t="s">
        <v>2</v>
      </c>
      <c r="B38" s="4" t="s">
        <v>36</v>
      </c>
      <c r="C38" s="2">
        <v>808200</v>
      </c>
      <c r="D38" s="8">
        <f t="shared" si="0"/>
        <v>0</v>
      </c>
      <c r="E38" s="2">
        <v>0</v>
      </c>
      <c r="F38" s="8">
        <v>1050660</v>
      </c>
      <c r="G38" s="8">
        <f t="shared" si="1"/>
        <v>-1050660</v>
      </c>
      <c r="H38" s="16">
        <v>-1</v>
      </c>
      <c r="I38" s="20"/>
    </row>
    <row r="39" spans="1:9" x14ac:dyDescent="0.35">
      <c r="A39" s="23" t="s">
        <v>2</v>
      </c>
      <c r="B39" s="4" t="s">
        <v>37</v>
      </c>
      <c r="C39" s="2">
        <v>3584000</v>
      </c>
      <c r="D39" s="8">
        <f t="shared" si="0"/>
        <v>5029500</v>
      </c>
      <c r="E39" s="2">
        <v>3353000</v>
      </c>
      <c r="F39" s="8">
        <v>5029500</v>
      </c>
      <c r="G39" s="8">
        <f t="shared" si="1"/>
        <v>-1676500</v>
      </c>
      <c r="H39" s="14">
        <v>0.4033203125</v>
      </c>
      <c r="I39" s="20"/>
    </row>
    <row r="40" spans="1:9" x14ac:dyDescent="0.35">
      <c r="A40" s="23" t="s">
        <v>2</v>
      </c>
      <c r="B40" s="4" t="s">
        <v>38</v>
      </c>
      <c r="C40" s="2">
        <v>1612800</v>
      </c>
      <c r="D40" s="8">
        <f t="shared" si="0"/>
        <v>7690200</v>
      </c>
      <c r="E40" s="2">
        <v>5126800</v>
      </c>
      <c r="F40" s="8">
        <v>7690200</v>
      </c>
      <c r="G40" s="8">
        <f t="shared" si="1"/>
        <v>-2563400</v>
      </c>
      <c r="H40" s="14">
        <v>3.768229166666667</v>
      </c>
      <c r="I40" s="20"/>
    </row>
    <row r="41" spans="1:9" x14ac:dyDescent="0.35">
      <c r="A41" s="23" t="s">
        <v>2</v>
      </c>
      <c r="B41" s="4" t="s">
        <v>39</v>
      </c>
      <c r="C41" s="2">
        <v>3630000</v>
      </c>
      <c r="D41" s="8">
        <f t="shared" si="0"/>
        <v>52109400</v>
      </c>
      <c r="E41" s="2">
        <v>34739600</v>
      </c>
      <c r="F41" s="8">
        <v>52109400</v>
      </c>
      <c r="G41" s="8">
        <f t="shared" si="1"/>
        <v>-17369800</v>
      </c>
      <c r="H41" s="14">
        <v>13.355206611570248</v>
      </c>
      <c r="I41" s="20"/>
    </row>
    <row r="42" spans="1:9" x14ac:dyDescent="0.35">
      <c r="A42" s="23" t="s">
        <v>2</v>
      </c>
      <c r="B42" s="4" t="s">
        <v>80</v>
      </c>
      <c r="C42" s="2">
        <v>350400</v>
      </c>
      <c r="D42" s="8">
        <f t="shared" si="0"/>
        <v>1381500</v>
      </c>
      <c r="E42" s="2">
        <v>921000</v>
      </c>
      <c r="F42" s="8">
        <v>1381500</v>
      </c>
      <c r="G42" s="8">
        <f t="shared" si="1"/>
        <v>-460500</v>
      </c>
      <c r="H42" s="14">
        <v>2.9426369863013697</v>
      </c>
      <c r="I42" s="20"/>
    </row>
    <row r="43" spans="1:9" x14ac:dyDescent="0.35">
      <c r="A43" s="23" t="s">
        <v>2</v>
      </c>
      <c r="B43" s="4" t="s">
        <v>40</v>
      </c>
      <c r="C43" s="2">
        <v>282900</v>
      </c>
      <c r="D43" s="8">
        <f t="shared" si="0"/>
        <v>2336700</v>
      </c>
      <c r="E43" s="2">
        <v>1557800</v>
      </c>
      <c r="F43" s="8">
        <v>2336700</v>
      </c>
      <c r="G43" s="8">
        <f t="shared" si="1"/>
        <v>-778900</v>
      </c>
      <c r="H43" s="14">
        <v>7.2598091198303294</v>
      </c>
      <c r="I43" s="20"/>
    </row>
    <row r="44" spans="1:9" x14ac:dyDescent="0.35">
      <c r="A44" s="23" t="s">
        <v>2</v>
      </c>
      <c r="B44" s="4" t="s">
        <v>41</v>
      </c>
      <c r="C44" s="2">
        <v>320800</v>
      </c>
      <c r="D44" s="8">
        <f t="shared" si="0"/>
        <v>120300</v>
      </c>
      <c r="E44" s="2">
        <v>80200</v>
      </c>
      <c r="F44" s="8">
        <v>417040</v>
      </c>
      <c r="G44" s="8">
        <f t="shared" si="1"/>
        <v>-336840</v>
      </c>
      <c r="H44" s="16">
        <v>-0.625</v>
      </c>
      <c r="I44" s="20"/>
    </row>
    <row r="45" spans="1:9" x14ac:dyDescent="0.35">
      <c r="A45" s="23" t="s">
        <v>3</v>
      </c>
      <c r="B45" s="4" t="s">
        <v>62</v>
      </c>
      <c r="C45" s="2">
        <v>49500</v>
      </c>
      <c r="D45" s="8">
        <f t="shared" si="0"/>
        <v>1816500</v>
      </c>
      <c r="E45" s="2">
        <v>1211000</v>
      </c>
      <c r="F45" s="8">
        <v>1816500</v>
      </c>
      <c r="G45" s="8">
        <f t="shared" si="1"/>
        <v>-605500</v>
      </c>
      <c r="H45" s="14">
        <v>35.696969696969695</v>
      </c>
      <c r="I45" s="20"/>
    </row>
    <row r="46" spans="1:9" x14ac:dyDescent="0.35">
      <c r="A46" s="23" t="s">
        <v>3</v>
      </c>
      <c r="B46" s="4" t="s">
        <v>63</v>
      </c>
      <c r="C46" s="2">
        <v>735600</v>
      </c>
      <c r="D46" s="8">
        <f t="shared" si="0"/>
        <v>8222850</v>
      </c>
      <c r="E46" s="2">
        <v>5481900</v>
      </c>
      <c r="F46" s="8">
        <v>8222850</v>
      </c>
      <c r="G46" s="8">
        <f t="shared" si="1"/>
        <v>-2740950</v>
      </c>
      <c r="H46" s="14">
        <v>10.178425774877651</v>
      </c>
      <c r="I46" s="20"/>
    </row>
    <row r="47" spans="1:9" x14ac:dyDescent="0.35">
      <c r="A47" s="23" t="s">
        <v>3</v>
      </c>
      <c r="B47" s="4" t="s">
        <v>64</v>
      </c>
      <c r="C47" s="2">
        <v>1224000</v>
      </c>
      <c r="D47" s="8">
        <f t="shared" si="0"/>
        <v>11323500</v>
      </c>
      <c r="E47" s="2">
        <v>7549000</v>
      </c>
      <c r="F47" s="8">
        <v>11323500</v>
      </c>
      <c r="G47" s="8">
        <f t="shared" si="1"/>
        <v>-3774500</v>
      </c>
      <c r="H47" s="14">
        <v>8.2512254901960791</v>
      </c>
      <c r="I47" s="20"/>
    </row>
    <row r="48" spans="1:9" x14ac:dyDescent="0.35">
      <c r="A48" s="23" t="s">
        <v>3</v>
      </c>
      <c r="B48" s="4" t="s">
        <v>65</v>
      </c>
      <c r="C48" s="2"/>
      <c r="D48" s="8">
        <f t="shared" si="0"/>
        <v>2898000</v>
      </c>
      <c r="E48" s="2">
        <v>1932000</v>
      </c>
      <c r="F48" s="8">
        <v>2898000</v>
      </c>
      <c r="G48" s="8">
        <f t="shared" si="1"/>
        <v>-966000</v>
      </c>
      <c r="H48" s="14">
        <v>1</v>
      </c>
      <c r="I48" s="20"/>
    </row>
    <row r="49" spans="1:9" x14ac:dyDescent="0.35">
      <c r="A49" s="23" t="s">
        <v>3</v>
      </c>
      <c r="B49" s="4" t="s">
        <v>42</v>
      </c>
      <c r="C49" s="2">
        <v>1224000</v>
      </c>
      <c r="D49" s="8">
        <f t="shared" si="0"/>
        <v>0</v>
      </c>
      <c r="E49" s="2">
        <v>0</v>
      </c>
      <c r="F49" s="8">
        <v>1591200</v>
      </c>
      <c r="G49" s="8">
        <f t="shared" si="1"/>
        <v>-1591200</v>
      </c>
      <c r="H49" s="16">
        <v>-1</v>
      </c>
      <c r="I49" s="20"/>
    </row>
    <row r="50" spans="1:9" x14ac:dyDescent="0.35">
      <c r="A50" s="23" t="s">
        <v>3</v>
      </c>
      <c r="B50" s="4" t="s">
        <v>43</v>
      </c>
      <c r="C50" s="2">
        <v>88200</v>
      </c>
      <c r="D50" s="8">
        <f t="shared" si="0"/>
        <v>0</v>
      </c>
      <c r="E50" s="2">
        <v>0</v>
      </c>
      <c r="F50" s="8">
        <v>114660</v>
      </c>
      <c r="G50" s="8">
        <f t="shared" si="1"/>
        <v>-114660</v>
      </c>
      <c r="H50" s="16">
        <v>-1</v>
      </c>
      <c r="I50" s="20"/>
    </row>
    <row r="51" spans="1:9" x14ac:dyDescent="0.35">
      <c r="A51" s="23" t="s">
        <v>3</v>
      </c>
      <c r="B51" s="4" t="s">
        <v>66</v>
      </c>
      <c r="C51" s="2">
        <v>25200</v>
      </c>
      <c r="D51" s="8">
        <f t="shared" si="0"/>
        <v>259500</v>
      </c>
      <c r="E51" s="2">
        <v>173000</v>
      </c>
      <c r="F51" s="8">
        <v>259500</v>
      </c>
      <c r="G51" s="8">
        <f t="shared" si="1"/>
        <v>-86500</v>
      </c>
      <c r="H51" s="14">
        <v>9.2976190476190474</v>
      </c>
      <c r="I51" s="20"/>
    </row>
    <row r="52" spans="1:9" x14ac:dyDescent="0.35">
      <c r="A52" s="23" t="s">
        <v>3</v>
      </c>
      <c r="B52" s="4" t="s">
        <v>67</v>
      </c>
      <c r="C52" s="2">
        <v>68400</v>
      </c>
      <c r="D52" s="8">
        <f t="shared" si="0"/>
        <v>59850</v>
      </c>
      <c r="E52" s="2">
        <v>39900</v>
      </c>
      <c r="F52" s="8">
        <v>88920</v>
      </c>
      <c r="G52" s="8">
        <f t="shared" si="1"/>
        <v>-49020</v>
      </c>
      <c r="H52" s="16">
        <v>-0.125</v>
      </c>
      <c r="I52" s="20"/>
    </row>
    <row r="53" spans="1:9" x14ac:dyDescent="0.35">
      <c r="A53" s="23" t="s">
        <v>3</v>
      </c>
      <c r="B53" s="4" t="s">
        <v>44</v>
      </c>
      <c r="C53" s="2">
        <v>205200</v>
      </c>
      <c r="D53" s="8">
        <f t="shared" si="0"/>
        <v>2513700</v>
      </c>
      <c r="E53" s="2">
        <v>1675800</v>
      </c>
      <c r="F53" s="8">
        <v>2513700</v>
      </c>
      <c r="G53" s="8">
        <f t="shared" si="1"/>
        <v>-837900</v>
      </c>
      <c r="H53" s="14">
        <v>11.25</v>
      </c>
      <c r="I53" s="20"/>
    </row>
    <row r="54" spans="1:9" x14ac:dyDescent="0.35">
      <c r="A54" s="23" t="s">
        <v>3</v>
      </c>
      <c r="B54" s="4" t="s">
        <v>45</v>
      </c>
      <c r="C54" s="2">
        <v>981500</v>
      </c>
      <c r="D54" s="8">
        <f t="shared" si="0"/>
        <v>2509500</v>
      </c>
      <c r="E54" s="2">
        <v>1673000</v>
      </c>
      <c r="F54" s="8">
        <v>2509500</v>
      </c>
      <c r="G54" s="8">
        <f t="shared" si="1"/>
        <v>-836500</v>
      </c>
      <c r="H54" s="14">
        <v>1.5568008150789607</v>
      </c>
      <c r="I54" s="20"/>
    </row>
    <row r="55" spans="1:9" x14ac:dyDescent="0.35">
      <c r="A55" s="23" t="s">
        <v>3</v>
      </c>
      <c r="B55" s="4" t="s">
        <v>46</v>
      </c>
      <c r="C55" s="2">
        <v>165600</v>
      </c>
      <c r="D55" s="8">
        <f t="shared" si="0"/>
        <v>919800</v>
      </c>
      <c r="E55" s="2">
        <v>613200</v>
      </c>
      <c r="F55" s="8">
        <v>919800</v>
      </c>
      <c r="G55" s="8">
        <f t="shared" si="1"/>
        <v>-306600</v>
      </c>
      <c r="H55" s="14">
        <v>4.5543478260869561</v>
      </c>
      <c r="I55" s="20"/>
    </row>
    <row r="56" spans="1:9" x14ac:dyDescent="0.35">
      <c r="A56" s="23" t="s">
        <v>3</v>
      </c>
      <c r="B56" s="4" t="s">
        <v>47</v>
      </c>
      <c r="C56" s="2">
        <v>453600</v>
      </c>
      <c r="D56" s="8">
        <f t="shared" si="0"/>
        <v>1686300</v>
      </c>
      <c r="E56" s="2">
        <v>1124200</v>
      </c>
      <c r="F56" s="8">
        <v>1686300</v>
      </c>
      <c r="G56" s="8">
        <f t="shared" si="1"/>
        <v>-562100</v>
      </c>
      <c r="H56" s="14">
        <v>2.7175925925925926</v>
      </c>
      <c r="I56" s="20"/>
    </row>
    <row r="57" spans="1:9" x14ac:dyDescent="0.35">
      <c r="A57" s="23" t="s">
        <v>3</v>
      </c>
      <c r="B57" s="4" t="s">
        <v>48</v>
      </c>
      <c r="C57" s="2">
        <v>173600</v>
      </c>
      <c r="D57" s="8">
        <f t="shared" si="0"/>
        <v>195300</v>
      </c>
      <c r="E57" s="2">
        <v>130200</v>
      </c>
      <c r="F57" s="8">
        <v>225680</v>
      </c>
      <c r="G57" s="8">
        <f t="shared" si="1"/>
        <v>-95480</v>
      </c>
      <c r="H57" s="14">
        <v>0.125</v>
      </c>
      <c r="I57" s="20"/>
    </row>
    <row r="58" spans="1:9" x14ac:dyDescent="0.35">
      <c r="A58" s="23" t="s">
        <v>3</v>
      </c>
      <c r="B58" s="4" t="s">
        <v>49</v>
      </c>
      <c r="C58" s="2">
        <v>264400</v>
      </c>
      <c r="D58" s="8">
        <f t="shared" si="0"/>
        <v>1215300</v>
      </c>
      <c r="E58" s="2">
        <v>810200</v>
      </c>
      <c r="F58" s="8">
        <v>1215300</v>
      </c>
      <c r="G58" s="8">
        <f t="shared" si="1"/>
        <v>-405100</v>
      </c>
      <c r="H58" s="14">
        <v>3.5964447806354007</v>
      </c>
      <c r="I58" s="20"/>
    </row>
    <row r="59" spans="1:9" x14ac:dyDescent="0.35">
      <c r="A59" s="23" t="s">
        <v>3</v>
      </c>
      <c r="B59" s="4" t="s">
        <v>50</v>
      </c>
      <c r="C59" s="2">
        <v>198300</v>
      </c>
      <c r="D59" s="8">
        <f t="shared" si="0"/>
        <v>1439100</v>
      </c>
      <c r="E59" s="2">
        <v>959400</v>
      </c>
      <c r="F59" s="8">
        <v>1439100</v>
      </c>
      <c r="G59" s="8">
        <f t="shared" si="1"/>
        <v>-479700</v>
      </c>
      <c r="H59" s="14">
        <v>6.2571860816944023</v>
      </c>
      <c r="I59" s="20"/>
    </row>
    <row r="60" spans="1:9" x14ac:dyDescent="0.35">
      <c r="A60" s="23" t="s">
        <v>3</v>
      </c>
      <c r="B60" s="4" t="s">
        <v>51</v>
      </c>
      <c r="C60" s="2">
        <v>1409400</v>
      </c>
      <c r="D60" s="8">
        <f t="shared" si="0"/>
        <v>6574350</v>
      </c>
      <c r="E60" s="2">
        <v>4382900</v>
      </c>
      <c r="F60" s="8">
        <v>6574350</v>
      </c>
      <c r="G60" s="8">
        <f t="shared" si="1"/>
        <v>-2191450</v>
      </c>
      <c r="H60" s="14">
        <v>3.6646445295870587</v>
      </c>
      <c r="I60" s="20"/>
    </row>
    <row r="61" spans="1:9" x14ac:dyDescent="0.35">
      <c r="A61" s="23" t="s">
        <v>3</v>
      </c>
      <c r="B61" s="4" t="s">
        <v>52</v>
      </c>
      <c r="C61" s="2">
        <v>1746000</v>
      </c>
      <c r="D61" s="8">
        <f t="shared" si="0"/>
        <v>11225250</v>
      </c>
      <c r="E61" s="2">
        <v>7483500</v>
      </c>
      <c r="F61" s="8">
        <v>11225250</v>
      </c>
      <c r="G61" s="8">
        <f t="shared" si="1"/>
        <v>-3741750</v>
      </c>
      <c r="H61" s="14">
        <v>5.429123711340206</v>
      </c>
      <c r="I61" s="20"/>
    </row>
    <row r="62" spans="1:9" x14ac:dyDescent="0.35">
      <c r="A62" s="23" t="s">
        <v>3</v>
      </c>
      <c r="B62" s="4" t="s">
        <v>53</v>
      </c>
      <c r="C62" s="2">
        <v>4510500</v>
      </c>
      <c r="D62" s="8">
        <f t="shared" si="0"/>
        <v>28519200</v>
      </c>
      <c r="E62" s="2">
        <v>19012800</v>
      </c>
      <c r="F62" s="8">
        <v>28519200</v>
      </c>
      <c r="G62" s="8">
        <f t="shared" si="1"/>
        <v>-9506400</v>
      </c>
      <c r="H62" s="14">
        <v>5.3228466910542069</v>
      </c>
      <c r="I62" s="20"/>
    </row>
    <row r="63" spans="1:9" x14ac:dyDescent="0.35">
      <c r="A63" s="23" t="s">
        <v>3</v>
      </c>
      <c r="B63" s="4" t="s">
        <v>81</v>
      </c>
      <c r="C63" s="2">
        <v>386000</v>
      </c>
      <c r="D63" s="8">
        <f t="shared" si="0"/>
        <v>0</v>
      </c>
      <c r="E63" s="2">
        <v>0</v>
      </c>
      <c r="F63" s="8">
        <v>501800</v>
      </c>
      <c r="G63" s="8">
        <f t="shared" si="1"/>
        <v>-501800</v>
      </c>
      <c r="H63" s="16">
        <v>-1</v>
      </c>
      <c r="I63" s="20"/>
    </row>
    <row r="64" spans="1:9" x14ac:dyDescent="0.35">
      <c r="A64" s="23" t="s">
        <v>3</v>
      </c>
      <c r="B64" s="4" t="s">
        <v>82</v>
      </c>
      <c r="C64" s="2">
        <v>302000</v>
      </c>
      <c r="D64" s="8">
        <f t="shared" si="0"/>
        <v>0</v>
      </c>
      <c r="E64" s="2">
        <v>0</v>
      </c>
      <c r="F64" s="8">
        <v>392600</v>
      </c>
      <c r="G64" s="8">
        <f t="shared" si="1"/>
        <v>-392600</v>
      </c>
      <c r="H64" s="16">
        <v>-1</v>
      </c>
      <c r="I64" s="20"/>
    </row>
    <row r="65" spans="1:9" x14ac:dyDescent="0.35">
      <c r="A65" s="23" t="s">
        <v>3</v>
      </c>
      <c r="B65" s="4" t="s">
        <v>69</v>
      </c>
      <c r="C65" s="2">
        <v>119000</v>
      </c>
      <c r="D65" s="8">
        <f t="shared" ref="D65:D67" si="2">(E65/8)*12</f>
        <v>834900</v>
      </c>
      <c r="E65" s="2">
        <v>556600</v>
      </c>
      <c r="F65" s="8">
        <v>834900</v>
      </c>
      <c r="G65" s="8">
        <f t="shared" ref="G65:G67" si="3">E65-F65</f>
        <v>-278300</v>
      </c>
      <c r="H65" s="14">
        <v>6.0159663865546218</v>
      </c>
      <c r="I65" s="20"/>
    </row>
    <row r="66" spans="1:9" x14ac:dyDescent="0.35">
      <c r="A66" s="23" t="s">
        <v>3</v>
      </c>
      <c r="B66" s="4" t="s">
        <v>54</v>
      </c>
      <c r="C66" s="2">
        <v>269500</v>
      </c>
      <c r="D66" s="8">
        <f t="shared" si="2"/>
        <v>2513700</v>
      </c>
      <c r="E66" s="2">
        <v>1675800</v>
      </c>
      <c r="F66" s="8">
        <v>2513700</v>
      </c>
      <c r="G66" s="8">
        <f t="shared" si="3"/>
        <v>-837900</v>
      </c>
      <c r="H66" s="14">
        <v>8.327272727272728</v>
      </c>
      <c r="I66" s="20"/>
    </row>
    <row r="67" spans="1:9" x14ac:dyDescent="0.35">
      <c r="A67" s="28" t="s">
        <v>4</v>
      </c>
      <c r="B67" s="28"/>
      <c r="C67" s="3">
        <v>275060600</v>
      </c>
      <c r="D67" s="9">
        <f t="shared" si="2"/>
        <v>857035800</v>
      </c>
      <c r="E67" s="3">
        <v>571357200</v>
      </c>
      <c r="F67" s="9">
        <v>857035800</v>
      </c>
      <c r="G67" s="9">
        <f t="shared" si="3"/>
        <v>-285678600</v>
      </c>
      <c r="H67" s="15">
        <v>2.1158072075753487</v>
      </c>
      <c r="I67" s="20"/>
    </row>
  </sheetData>
  <mergeCells count="1">
    <mergeCell ref="A67:B67"/>
  </mergeCells>
  <pageMargins left="0.7" right="0.7" top="0.75" bottom="0.75" header="0.3" footer="0.3"/>
  <ignoredErrors>
    <ignoredError sqref="C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06F1B-66CB-4BE7-A631-2D9A4EC5ABB3}">
  <dimension ref="A2:I14"/>
  <sheetViews>
    <sheetView workbookViewId="0">
      <selection activeCell="G8" sqref="G8"/>
    </sheetView>
  </sheetViews>
  <sheetFormatPr defaultRowHeight="14.5" x14ac:dyDescent="0.35"/>
  <cols>
    <col min="1" max="1" width="12.453125" bestFit="1" customWidth="1"/>
    <col min="2" max="2" width="70.6328125" customWidth="1"/>
    <col min="3" max="7" width="12.6328125" customWidth="1"/>
    <col min="8" max="8" width="14.81640625" bestFit="1" customWidth="1"/>
    <col min="9" max="9" width="12.6328125" customWidth="1"/>
  </cols>
  <sheetData>
    <row r="2" spans="1:9" x14ac:dyDescent="0.35">
      <c r="A2" s="24" t="s">
        <v>102</v>
      </c>
      <c r="B2" s="1" t="s">
        <v>86</v>
      </c>
      <c r="C2" s="5" t="s">
        <v>71</v>
      </c>
      <c r="D2" s="5">
        <v>2024</v>
      </c>
      <c r="E2" s="5">
        <v>2025</v>
      </c>
      <c r="F2" s="6" t="s">
        <v>98</v>
      </c>
      <c r="G2" s="6" t="s">
        <v>99</v>
      </c>
      <c r="H2" s="6" t="s">
        <v>101</v>
      </c>
      <c r="I2" s="13" t="s">
        <v>100</v>
      </c>
    </row>
    <row r="3" spans="1:9" x14ac:dyDescent="0.35">
      <c r="A3" s="23" t="s">
        <v>0</v>
      </c>
      <c r="B3" s="4" t="s">
        <v>5</v>
      </c>
      <c r="C3" s="2">
        <v>72000</v>
      </c>
      <c r="D3" s="2">
        <v>0</v>
      </c>
      <c r="E3" s="2">
        <v>0</v>
      </c>
      <c r="F3" s="2">
        <v>0</v>
      </c>
      <c r="G3" s="8">
        <f t="shared" ref="G3:G14" si="0">((C3/12)*1.3)*4</f>
        <v>31200</v>
      </c>
      <c r="H3" s="8">
        <f t="shared" ref="H3:H14" si="1">F3-G3</f>
        <v>-31200</v>
      </c>
      <c r="I3" s="16">
        <v>-1</v>
      </c>
    </row>
    <row r="4" spans="1:9" x14ac:dyDescent="0.35">
      <c r="A4" s="23" t="s">
        <v>0</v>
      </c>
      <c r="B4" s="4" t="s">
        <v>6</v>
      </c>
      <c r="C4" s="2">
        <v>133000</v>
      </c>
      <c r="D4" s="2">
        <v>0</v>
      </c>
      <c r="E4" s="2">
        <v>0</v>
      </c>
      <c r="F4" s="2">
        <v>0</v>
      </c>
      <c r="G4" s="8">
        <f t="shared" si="0"/>
        <v>57633.333333333336</v>
      </c>
      <c r="H4" s="8">
        <f t="shared" si="1"/>
        <v>-57633.333333333336</v>
      </c>
      <c r="I4" s="16">
        <v>-1</v>
      </c>
    </row>
    <row r="5" spans="1:9" x14ac:dyDescent="0.35">
      <c r="A5" s="23" t="s">
        <v>0</v>
      </c>
      <c r="B5" s="4" t="s">
        <v>9</v>
      </c>
      <c r="C5" s="2">
        <v>99000</v>
      </c>
      <c r="D5" s="2">
        <v>0</v>
      </c>
      <c r="E5" s="2">
        <v>0</v>
      </c>
      <c r="F5" s="2">
        <v>0</v>
      </c>
      <c r="G5" s="8">
        <f t="shared" si="0"/>
        <v>42900</v>
      </c>
      <c r="H5" s="8">
        <f t="shared" si="1"/>
        <v>-42900</v>
      </c>
      <c r="I5" s="16">
        <v>-1</v>
      </c>
    </row>
    <row r="6" spans="1:9" x14ac:dyDescent="0.35">
      <c r="A6" s="23" t="s">
        <v>0</v>
      </c>
      <c r="B6" s="4" t="s">
        <v>14</v>
      </c>
      <c r="C6" s="2">
        <v>672000</v>
      </c>
      <c r="D6" s="2">
        <v>0</v>
      </c>
      <c r="E6" s="2">
        <v>0</v>
      </c>
      <c r="F6" s="2">
        <v>0</v>
      </c>
      <c r="G6" s="8">
        <f t="shared" si="0"/>
        <v>291200</v>
      </c>
      <c r="H6" s="8">
        <f t="shared" si="1"/>
        <v>-291200</v>
      </c>
      <c r="I6" s="16">
        <v>-1</v>
      </c>
    </row>
    <row r="7" spans="1:9" x14ac:dyDescent="0.35">
      <c r="A7" s="23" t="s">
        <v>0</v>
      </c>
      <c r="B7" s="4" t="s">
        <v>16</v>
      </c>
      <c r="C7" s="2">
        <v>215000</v>
      </c>
      <c r="D7" s="2">
        <v>0</v>
      </c>
      <c r="E7" s="2">
        <v>0</v>
      </c>
      <c r="F7" s="2">
        <v>0</v>
      </c>
      <c r="G7" s="8">
        <f t="shared" si="0"/>
        <v>93166.666666666672</v>
      </c>
      <c r="H7" s="8">
        <f t="shared" si="1"/>
        <v>-93166.666666666672</v>
      </c>
      <c r="I7" s="16">
        <v>-1</v>
      </c>
    </row>
    <row r="8" spans="1:9" x14ac:dyDescent="0.35">
      <c r="A8" s="23" t="s">
        <v>0</v>
      </c>
      <c r="B8" s="4" t="s">
        <v>19</v>
      </c>
      <c r="C8" s="2">
        <v>579000</v>
      </c>
      <c r="D8" s="2">
        <v>0</v>
      </c>
      <c r="E8" s="2">
        <v>0</v>
      </c>
      <c r="F8" s="2">
        <v>0</v>
      </c>
      <c r="G8" s="8">
        <f t="shared" si="0"/>
        <v>250900</v>
      </c>
      <c r="H8" s="8">
        <f t="shared" si="1"/>
        <v>-250900</v>
      </c>
      <c r="I8" s="16">
        <v>-1</v>
      </c>
    </row>
    <row r="9" spans="1:9" x14ac:dyDescent="0.35">
      <c r="A9" s="23" t="s">
        <v>0</v>
      </c>
      <c r="B9" s="4" t="s">
        <v>20</v>
      </c>
      <c r="C9" s="2">
        <v>254000</v>
      </c>
      <c r="D9" s="2">
        <v>0</v>
      </c>
      <c r="E9" s="2">
        <v>0</v>
      </c>
      <c r="F9" s="2">
        <v>0</v>
      </c>
      <c r="G9" s="8">
        <f t="shared" si="0"/>
        <v>110066.66666666667</v>
      </c>
      <c r="H9" s="8">
        <f t="shared" si="1"/>
        <v>-110066.66666666667</v>
      </c>
      <c r="I9" s="16">
        <v>-1</v>
      </c>
    </row>
    <row r="10" spans="1:9" x14ac:dyDescent="0.35">
      <c r="A10" s="23" t="s">
        <v>0</v>
      </c>
      <c r="B10" s="4" t="s">
        <v>21</v>
      </c>
      <c r="C10" s="2">
        <v>193000</v>
      </c>
      <c r="D10" s="2">
        <v>0</v>
      </c>
      <c r="E10" s="2">
        <v>0</v>
      </c>
      <c r="F10" s="2">
        <v>0</v>
      </c>
      <c r="G10" s="8">
        <f t="shared" si="0"/>
        <v>83633.333333333343</v>
      </c>
      <c r="H10" s="8">
        <f t="shared" si="1"/>
        <v>-83633.333333333343</v>
      </c>
      <c r="I10" s="16">
        <v>-1</v>
      </c>
    </row>
    <row r="11" spans="1:9" x14ac:dyDescent="0.35">
      <c r="A11" s="23" t="s">
        <v>2</v>
      </c>
      <c r="B11" s="4" t="s">
        <v>31</v>
      </c>
      <c r="C11" s="2">
        <v>75200</v>
      </c>
      <c r="D11" s="2">
        <v>0</v>
      </c>
      <c r="E11" s="2">
        <v>0</v>
      </c>
      <c r="F11" s="2">
        <v>0</v>
      </c>
      <c r="G11" s="8">
        <f t="shared" si="0"/>
        <v>32586.666666666668</v>
      </c>
      <c r="H11" s="8">
        <f t="shared" si="1"/>
        <v>-32586.666666666668</v>
      </c>
      <c r="I11" s="16">
        <v>-1</v>
      </c>
    </row>
    <row r="12" spans="1:9" x14ac:dyDescent="0.35">
      <c r="A12" s="23" t="s">
        <v>3</v>
      </c>
      <c r="B12" s="4" t="s">
        <v>63</v>
      </c>
      <c r="C12" s="2">
        <v>151800</v>
      </c>
      <c r="D12" s="2">
        <v>0</v>
      </c>
      <c r="E12" s="2">
        <v>0</v>
      </c>
      <c r="F12" s="2">
        <v>0</v>
      </c>
      <c r="G12" s="8">
        <f t="shared" si="0"/>
        <v>65780</v>
      </c>
      <c r="H12" s="8">
        <f t="shared" si="1"/>
        <v>-65780</v>
      </c>
      <c r="I12" s="16">
        <v>-1</v>
      </c>
    </row>
    <row r="13" spans="1:9" x14ac:dyDescent="0.35">
      <c r="A13" s="23" t="s">
        <v>3</v>
      </c>
      <c r="B13" s="4" t="s">
        <v>51</v>
      </c>
      <c r="C13" s="2">
        <v>582000</v>
      </c>
      <c r="D13" s="2">
        <v>0</v>
      </c>
      <c r="E13" s="2">
        <v>0</v>
      </c>
      <c r="F13" s="2">
        <v>0</v>
      </c>
      <c r="G13" s="8">
        <f t="shared" si="0"/>
        <v>252200</v>
      </c>
      <c r="H13" s="8">
        <f t="shared" si="1"/>
        <v>-252200</v>
      </c>
      <c r="I13" s="16">
        <v>-1</v>
      </c>
    </row>
    <row r="14" spans="1:9" x14ac:dyDescent="0.35">
      <c r="A14" s="28" t="s">
        <v>4</v>
      </c>
      <c r="B14" s="28"/>
      <c r="C14" s="3">
        <f>SUM(C3:C13)</f>
        <v>3026000</v>
      </c>
      <c r="D14" s="3">
        <f t="shared" ref="D14:F14" si="2">SUM(D3:D13)</f>
        <v>0</v>
      </c>
      <c r="E14" s="3">
        <f t="shared" si="2"/>
        <v>0</v>
      </c>
      <c r="F14" s="3">
        <f t="shared" si="2"/>
        <v>0</v>
      </c>
      <c r="G14" s="9">
        <f t="shared" si="0"/>
        <v>1311266.6666666667</v>
      </c>
      <c r="H14" s="9">
        <f t="shared" si="1"/>
        <v>-1311266.6666666667</v>
      </c>
      <c r="I14" s="22">
        <v>-1</v>
      </c>
    </row>
  </sheetData>
  <mergeCells count="1">
    <mergeCell ref="A14:B14"/>
  </mergeCells>
  <pageMargins left="0.7" right="0.7" top="0.75" bottom="0.75" header="0.3" footer="0.3"/>
  <ignoredErrors>
    <ignoredError sqref="C2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76BCC-4846-480A-ABEF-81C47DADADA8}">
  <dimension ref="A2:F30"/>
  <sheetViews>
    <sheetView workbookViewId="0">
      <selection activeCell="B7" sqref="B7"/>
    </sheetView>
  </sheetViews>
  <sheetFormatPr defaultRowHeight="14.5" x14ac:dyDescent="0.35"/>
  <cols>
    <col min="1" max="1" width="12.453125" bestFit="1" customWidth="1"/>
    <col min="2" max="2" width="70.6328125" customWidth="1"/>
    <col min="3" max="4" width="12.6328125" customWidth="1"/>
    <col min="5" max="5" width="14.81640625" bestFit="1" customWidth="1"/>
    <col min="6" max="6" width="12.6328125" customWidth="1"/>
  </cols>
  <sheetData>
    <row r="2" spans="1:6" x14ac:dyDescent="0.35">
      <c r="A2" s="24" t="s">
        <v>102</v>
      </c>
      <c r="B2" s="1" t="s">
        <v>85</v>
      </c>
      <c r="C2" s="6" t="s">
        <v>98</v>
      </c>
      <c r="D2" s="6" t="s">
        <v>99</v>
      </c>
      <c r="E2" s="6" t="s">
        <v>101</v>
      </c>
      <c r="F2" s="13" t="s">
        <v>100</v>
      </c>
    </row>
    <row r="3" spans="1:6" x14ac:dyDescent="0.35">
      <c r="A3" s="23" t="s">
        <v>0</v>
      </c>
      <c r="B3" s="4" t="s">
        <v>57</v>
      </c>
      <c r="C3" s="2">
        <v>600000</v>
      </c>
      <c r="D3" s="8">
        <f t="shared" ref="D3:D30" si="0">(C3/8)*12</f>
        <v>900000</v>
      </c>
      <c r="E3" s="8">
        <f t="shared" ref="E3:E30" si="1">C3-D3</f>
        <v>-300000</v>
      </c>
      <c r="F3" s="10"/>
    </row>
    <row r="4" spans="1:6" x14ac:dyDescent="0.35">
      <c r="A4" s="23" t="s">
        <v>0</v>
      </c>
      <c r="B4" s="4" t="s">
        <v>16</v>
      </c>
      <c r="C4" s="2">
        <v>753000</v>
      </c>
      <c r="D4" s="8">
        <f t="shared" si="0"/>
        <v>1129500</v>
      </c>
      <c r="E4" s="8">
        <f t="shared" si="1"/>
        <v>-376500</v>
      </c>
      <c r="F4" s="2"/>
    </row>
    <row r="5" spans="1:6" x14ac:dyDescent="0.35">
      <c r="A5" s="23" t="s">
        <v>0</v>
      </c>
      <c r="B5" s="4" t="s">
        <v>18</v>
      </c>
      <c r="C5" s="2">
        <v>558000</v>
      </c>
      <c r="D5" s="8">
        <f t="shared" si="0"/>
        <v>837000</v>
      </c>
      <c r="E5" s="8">
        <f t="shared" si="1"/>
        <v>-279000</v>
      </c>
      <c r="F5" s="2"/>
    </row>
    <row r="6" spans="1:6" x14ac:dyDescent="0.35">
      <c r="A6" s="23" t="s">
        <v>0</v>
      </c>
      <c r="B6" s="4" t="s">
        <v>19</v>
      </c>
      <c r="C6" s="2">
        <v>1130000</v>
      </c>
      <c r="D6" s="8">
        <f t="shared" si="0"/>
        <v>1695000</v>
      </c>
      <c r="E6" s="8">
        <f t="shared" si="1"/>
        <v>-565000</v>
      </c>
      <c r="F6" s="2"/>
    </row>
    <row r="7" spans="1:6" x14ac:dyDescent="0.35">
      <c r="A7" s="23" t="s">
        <v>0</v>
      </c>
      <c r="B7" s="4" t="s">
        <v>20</v>
      </c>
      <c r="C7" s="2">
        <v>1180000</v>
      </c>
      <c r="D7" s="8">
        <f t="shared" si="0"/>
        <v>1770000</v>
      </c>
      <c r="E7" s="8">
        <f t="shared" si="1"/>
        <v>-590000</v>
      </c>
      <c r="F7" s="2"/>
    </row>
    <row r="8" spans="1:6" x14ac:dyDescent="0.35">
      <c r="A8" s="23" t="s">
        <v>0</v>
      </c>
      <c r="B8" s="4" t="s">
        <v>21</v>
      </c>
      <c r="C8" s="2">
        <v>452000</v>
      </c>
      <c r="D8" s="8">
        <f t="shared" si="0"/>
        <v>678000</v>
      </c>
      <c r="E8" s="8">
        <f t="shared" si="1"/>
        <v>-226000</v>
      </c>
      <c r="F8" s="2"/>
    </row>
    <row r="9" spans="1:6" x14ac:dyDescent="0.35">
      <c r="A9" s="23" t="s">
        <v>2</v>
      </c>
      <c r="B9" s="4" t="s">
        <v>31</v>
      </c>
      <c r="C9" s="2">
        <v>289200</v>
      </c>
      <c r="D9" s="8">
        <f t="shared" si="0"/>
        <v>433800</v>
      </c>
      <c r="E9" s="8">
        <f t="shared" si="1"/>
        <v>-144600</v>
      </c>
      <c r="F9" s="2"/>
    </row>
    <row r="10" spans="1:6" x14ac:dyDescent="0.35">
      <c r="A10" s="23" t="s">
        <v>2</v>
      </c>
      <c r="B10" s="4" t="s">
        <v>60</v>
      </c>
      <c r="C10" s="2">
        <v>601500</v>
      </c>
      <c r="D10" s="8">
        <f t="shared" si="0"/>
        <v>902250</v>
      </c>
      <c r="E10" s="8">
        <f t="shared" si="1"/>
        <v>-300750</v>
      </c>
      <c r="F10" s="2"/>
    </row>
    <row r="11" spans="1:6" x14ac:dyDescent="0.35">
      <c r="A11" s="23" t="s">
        <v>2</v>
      </c>
      <c r="B11" s="4" t="s">
        <v>84</v>
      </c>
      <c r="C11" s="2">
        <v>222600</v>
      </c>
      <c r="D11" s="8">
        <f t="shared" si="0"/>
        <v>333900</v>
      </c>
      <c r="E11" s="8">
        <f t="shared" si="1"/>
        <v>-111300</v>
      </c>
      <c r="F11" s="2"/>
    </row>
    <row r="12" spans="1:6" x14ac:dyDescent="0.35">
      <c r="A12" s="23" t="s">
        <v>2</v>
      </c>
      <c r="B12" s="4" t="s">
        <v>32</v>
      </c>
      <c r="C12" s="2">
        <v>2580000</v>
      </c>
      <c r="D12" s="8">
        <f t="shared" si="0"/>
        <v>3870000</v>
      </c>
      <c r="E12" s="8">
        <f t="shared" si="1"/>
        <v>-1290000</v>
      </c>
      <c r="F12" s="2"/>
    </row>
    <row r="13" spans="1:6" x14ac:dyDescent="0.35">
      <c r="A13" s="23" t="s">
        <v>2</v>
      </c>
      <c r="B13" s="4" t="s">
        <v>33</v>
      </c>
      <c r="C13" s="2">
        <v>1119500</v>
      </c>
      <c r="D13" s="8">
        <f t="shared" si="0"/>
        <v>1679250</v>
      </c>
      <c r="E13" s="8">
        <f t="shared" si="1"/>
        <v>-559750</v>
      </c>
      <c r="F13" s="2"/>
    </row>
    <row r="14" spans="1:6" x14ac:dyDescent="0.35">
      <c r="A14" s="23" t="s">
        <v>2</v>
      </c>
      <c r="B14" s="4" t="s">
        <v>34</v>
      </c>
      <c r="C14" s="2">
        <v>1548000</v>
      </c>
      <c r="D14" s="8">
        <f t="shared" si="0"/>
        <v>2322000</v>
      </c>
      <c r="E14" s="8">
        <f t="shared" si="1"/>
        <v>-774000</v>
      </c>
      <c r="F14" s="2"/>
    </row>
    <row r="15" spans="1:6" x14ac:dyDescent="0.35">
      <c r="A15" s="23" t="s">
        <v>2</v>
      </c>
      <c r="B15" s="4" t="s">
        <v>35</v>
      </c>
      <c r="C15" s="2">
        <v>2580000</v>
      </c>
      <c r="D15" s="8">
        <f t="shared" si="0"/>
        <v>3870000</v>
      </c>
      <c r="E15" s="8">
        <f t="shared" si="1"/>
        <v>-1290000</v>
      </c>
      <c r="F15" s="2"/>
    </row>
    <row r="16" spans="1:6" x14ac:dyDescent="0.35">
      <c r="A16" s="23" t="s">
        <v>2</v>
      </c>
      <c r="B16" s="4" t="s">
        <v>61</v>
      </c>
      <c r="C16" s="2">
        <v>1883000</v>
      </c>
      <c r="D16" s="8">
        <f t="shared" si="0"/>
        <v>2824500</v>
      </c>
      <c r="E16" s="8">
        <f t="shared" si="1"/>
        <v>-941500</v>
      </c>
      <c r="F16" s="2"/>
    </row>
    <row r="17" spans="1:6" x14ac:dyDescent="0.35">
      <c r="A17" s="23" t="s">
        <v>2</v>
      </c>
      <c r="B17" s="4" t="s">
        <v>36</v>
      </c>
      <c r="C17" s="2">
        <v>1415000</v>
      </c>
      <c r="D17" s="8">
        <f t="shared" si="0"/>
        <v>2122500</v>
      </c>
      <c r="E17" s="8">
        <f t="shared" si="1"/>
        <v>-707500</v>
      </c>
      <c r="F17" s="2"/>
    </row>
    <row r="18" spans="1:6" x14ac:dyDescent="0.35">
      <c r="A18" s="23" t="s">
        <v>2</v>
      </c>
      <c r="B18" s="4" t="s">
        <v>37</v>
      </c>
      <c r="C18" s="2">
        <v>941500</v>
      </c>
      <c r="D18" s="8">
        <f t="shared" si="0"/>
        <v>1412250</v>
      </c>
      <c r="E18" s="8">
        <f t="shared" si="1"/>
        <v>-470750</v>
      </c>
      <c r="F18" s="2"/>
    </row>
    <row r="19" spans="1:6" x14ac:dyDescent="0.35">
      <c r="A19" s="23" t="s">
        <v>2</v>
      </c>
      <c r="B19" s="4" t="s">
        <v>38</v>
      </c>
      <c r="C19" s="2">
        <v>1883000</v>
      </c>
      <c r="D19" s="8">
        <f t="shared" si="0"/>
        <v>2824500</v>
      </c>
      <c r="E19" s="8">
        <f t="shared" si="1"/>
        <v>-941500</v>
      </c>
      <c r="F19" s="2"/>
    </row>
    <row r="20" spans="1:6" x14ac:dyDescent="0.35">
      <c r="A20" s="23" t="s">
        <v>2</v>
      </c>
      <c r="B20" s="4" t="s">
        <v>39</v>
      </c>
      <c r="C20" s="2">
        <v>2293200</v>
      </c>
      <c r="D20" s="8">
        <f t="shared" si="0"/>
        <v>3439800</v>
      </c>
      <c r="E20" s="8">
        <f t="shared" si="1"/>
        <v>-1146600</v>
      </c>
      <c r="F20" s="2"/>
    </row>
    <row r="21" spans="1:6" x14ac:dyDescent="0.35">
      <c r="A21" s="23" t="s">
        <v>2</v>
      </c>
      <c r="B21" s="4" t="s">
        <v>80</v>
      </c>
      <c r="C21" s="2">
        <v>1105200</v>
      </c>
      <c r="D21" s="8">
        <f t="shared" si="0"/>
        <v>1657800</v>
      </c>
      <c r="E21" s="8">
        <f t="shared" si="1"/>
        <v>-552600</v>
      </c>
      <c r="F21" s="2"/>
    </row>
    <row r="22" spans="1:6" x14ac:dyDescent="0.35">
      <c r="A22" s="23" t="s">
        <v>2</v>
      </c>
      <c r="B22" s="4" t="s">
        <v>40</v>
      </c>
      <c r="C22" s="2">
        <v>496000</v>
      </c>
      <c r="D22" s="8">
        <f t="shared" si="0"/>
        <v>744000</v>
      </c>
      <c r="E22" s="8">
        <f t="shared" si="1"/>
        <v>-248000</v>
      </c>
      <c r="F22" s="2"/>
    </row>
    <row r="23" spans="1:6" x14ac:dyDescent="0.35">
      <c r="A23" s="23" t="s">
        <v>3</v>
      </c>
      <c r="B23" s="4" t="s">
        <v>44</v>
      </c>
      <c r="C23" s="2">
        <v>432000</v>
      </c>
      <c r="D23" s="8">
        <f t="shared" si="0"/>
        <v>648000</v>
      </c>
      <c r="E23" s="8">
        <f t="shared" si="1"/>
        <v>-216000</v>
      </c>
      <c r="F23" s="2"/>
    </row>
    <row r="24" spans="1:6" x14ac:dyDescent="0.35">
      <c r="A24" s="23" t="s">
        <v>3</v>
      </c>
      <c r="B24" s="4" t="s">
        <v>45</v>
      </c>
      <c r="C24" s="2">
        <v>525600</v>
      </c>
      <c r="D24" s="8">
        <f t="shared" si="0"/>
        <v>788400</v>
      </c>
      <c r="E24" s="8">
        <f t="shared" si="1"/>
        <v>-262800</v>
      </c>
      <c r="F24" s="2"/>
    </row>
    <row r="25" spans="1:6" x14ac:dyDescent="0.35">
      <c r="A25" s="23" t="s">
        <v>3</v>
      </c>
      <c r="B25" s="4" t="s">
        <v>48</v>
      </c>
      <c r="C25" s="2">
        <v>274800</v>
      </c>
      <c r="D25" s="8">
        <f t="shared" si="0"/>
        <v>412200</v>
      </c>
      <c r="E25" s="8">
        <f t="shared" si="1"/>
        <v>-137400</v>
      </c>
      <c r="F25" s="2"/>
    </row>
    <row r="26" spans="1:6" x14ac:dyDescent="0.35">
      <c r="A26" s="23" t="s">
        <v>3</v>
      </c>
      <c r="B26" s="4" t="s">
        <v>50</v>
      </c>
      <c r="C26" s="2">
        <v>834000</v>
      </c>
      <c r="D26" s="8">
        <f t="shared" si="0"/>
        <v>1251000</v>
      </c>
      <c r="E26" s="8">
        <f t="shared" si="1"/>
        <v>-417000</v>
      </c>
      <c r="F26" s="2"/>
    </row>
    <row r="27" spans="1:6" x14ac:dyDescent="0.35">
      <c r="A27" s="23" t="s">
        <v>3</v>
      </c>
      <c r="B27" s="4" t="s">
        <v>52</v>
      </c>
      <c r="C27" s="2">
        <v>550200</v>
      </c>
      <c r="D27" s="8">
        <f t="shared" si="0"/>
        <v>825300</v>
      </c>
      <c r="E27" s="8">
        <f t="shared" si="1"/>
        <v>-275100</v>
      </c>
      <c r="F27" s="2"/>
    </row>
    <row r="28" spans="1:6" x14ac:dyDescent="0.35">
      <c r="A28" s="23" t="s">
        <v>3</v>
      </c>
      <c r="B28" s="4" t="s">
        <v>53</v>
      </c>
      <c r="C28" s="2">
        <v>1987200</v>
      </c>
      <c r="D28" s="8">
        <f t="shared" si="0"/>
        <v>2980800</v>
      </c>
      <c r="E28" s="8">
        <f t="shared" si="1"/>
        <v>-993600</v>
      </c>
      <c r="F28" s="2"/>
    </row>
    <row r="29" spans="1:6" x14ac:dyDescent="0.35">
      <c r="A29" s="23" t="s">
        <v>3</v>
      </c>
      <c r="B29" s="4" t="s">
        <v>54</v>
      </c>
      <c r="C29" s="2">
        <v>243600</v>
      </c>
      <c r="D29" s="8">
        <f t="shared" si="0"/>
        <v>365400</v>
      </c>
      <c r="E29" s="8">
        <f t="shared" si="1"/>
        <v>-121800</v>
      </c>
      <c r="F29" s="2"/>
    </row>
    <row r="30" spans="1:6" x14ac:dyDescent="0.35">
      <c r="A30" s="28" t="s">
        <v>4</v>
      </c>
      <c r="B30" s="28"/>
      <c r="C30" s="3">
        <v>28478100</v>
      </c>
      <c r="D30" s="9">
        <f t="shared" si="0"/>
        <v>42717150</v>
      </c>
      <c r="E30" s="9">
        <f t="shared" si="1"/>
        <v>-14239050</v>
      </c>
      <c r="F30" s="3"/>
    </row>
  </sheetData>
  <mergeCells count="1">
    <mergeCell ref="A30:B3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654A1-D59E-47CA-B49C-8CAFC940436F}">
  <dimension ref="A2:F5"/>
  <sheetViews>
    <sheetView workbookViewId="0">
      <selection activeCell="C5" sqref="C5"/>
    </sheetView>
  </sheetViews>
  <sheetFormatPr defaultRowHeight="14.5" x14ac:dyDescent="0.35"/>
  <cols>
    <col min="1" max="1" width="12.453125" bestFit="1" customWidth="1"/>
    <col min="2" max="2" width="70.6328125" customWidth="1"/>
    <col min="3" max="4" width="12.6328125" customWidth="1"/>
    <col min="5" max="5" width="14.81640625" bestFit="1" customWidth="1"/>
    <col min="6" max="6" width="12.6328125" customWidth="1"/>
  </cols>
  <sheetData>
    <row r="2" spans="1:6" x14ac:dyDescent="0.35">
      <c r="A2" s="24" t="s">
        <v>102</v>
      </c>
      <c r="B2" s="1" t="s">
        <v>87</v>
      </c>
      <c r="C2" s="6" t="s">
        <v>98</v>
      </c>
      <c r="D2" s="6" t="s">
        <v>99</v>
      </c>
      <c r="E2" s="6" t="s">
        <v>101</v>
      </c>
      <c r="F2" s="13" t="s">
        <v>100</v>
      </c>
    </row>
    <row r="3" spans="1:6" x14ac:dyDescent="0.35">
      <c r="A3" s="23" t="s">
        <v>0</v>
      </c>
      <c r="B3" s="4" t="s">
        <v>19</v>
      </c>
      <c r="C3" s="2">
        <v>1284000</v>
      </c>
      <c r="D3" s="8">
        <f t="shared" ref="D3:D5" si="0">(C3/8)*12</f>
        <v>1926000</v>
      </c>
      <c r="E3" s="8">
        <f t="shared" ref="E3:E5" si="1">C3-D3</f>
        <v>-642000</v>
      </c>
      <c r="F3" s="2"/>
    </row>
    <row r="4" spans="1:6" x14ac:dyDescent="0.35">
      <c r="A4" s="23" t="s">
        <v>2</v>
      </c>
      <c r="B4" s="4" t="s">
        <v>35</v>
      </c>
      <c r="C4" s="2">
        <v>1309600</v>
      </c>
      <c r="D4" s="8">
        <f t="shared" si="0"/>
        <v>1964400</v>
      </c>
      <c r="E4" s="8">
        <f t="shared" si="1"/>
        <v>-654800</v>
      </c>
      <c r="F4" s="2"/>
    </row>
    <row r="5" spans="1:6" x14ac:dyDescent="0.35">
      <c r="A5" s="28" t="s">
        <v>4</v>
      </c>
      <c r="B5" s="28"/>
      <c r="C5" s="3">
        <v>2593600</v>
      </c>
      <c r="D5" s="9">
        <f t="shared" si="0"/>
        <v>3890400</v>
      </c>
      <c r="E5" s="9">
        <f t="shared" si="1"/>
        <v>-1296800</v>
      </c>
      <c r="F5" s="3"/>
    </row>
  </sheetData>
  <mergeCells count="1"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Shopee</vt:lpstr>
      <vt:lpstr>Tokopedia</vt:lpstr>
      <vt:lpstr>Alfagift</vt:lpstr>
      <vt:lpstr>PCA</vt:lpstr>
      <vt:lpstr>Bli Bli</vt:lpstr>
      <vt:lpstr>Berhasil Tumbuh Bersama</vt:lpstr>
      <vt:lpstr>Lazada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 Wibowo</dc:creator>
  <cp:lastModifiedBy>Agus Wibowo</cp:lastModifiedBy>
  <dcterms:created xsi:type="dcterms:W3CDTF">2026-09-14T09:49:24Z</dcterms:created>
  <dcterms:modified xsi:type="dcterms:W3CDTF">2026-09-16T10:00:57Z</dcterms:modified>
</cp:coreProperties>
</file>