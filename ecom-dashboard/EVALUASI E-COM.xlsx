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COMM\EVALUASI &amp; ANALISA\"/>
    </mc:Choice>
  </mc:AlternateContent>
  <xr:revisionPtr revIDLastSave="0" documentId="13_ncr:1_{2A343051-C629-472C-9CE1-8B528F6E6424}" xr6:coauthVersionLast="47" xr6:coauthVersionMax="47" xr10:uidLastSave="{00000000-0000-0000-0000-000000000000}"/>
  <bookViews>
    <workbookView xWindow="-110" yWindow="-110" windowWidth="19420" windowHeight="10300" xr2:uid="{0F3CC47A-4ED7-41D1-B325-0F2EE4D29C65}"/>
  </bookViews>
  <sheets>
    <sheet name="E-COM" sheetId="1" r:id="rId1"/>
  </sheets>
  <definedNames>
    <definedName name="_xlnm._FilterDatabase" localSheetId="0" hidden="1">'E-COM'!$A$2:$M$244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4" i="1" l="1"/>
  <c r="K244" i="1" s="1"/>
  <c r="L244" i="1" s="1"/>
  <c r="I243" i="1"/>
  <c r="K243" i="1" s="1"/>
  <c r="L243" i="1" s="1"/>
  <c r="I242" i="1"/>
  <c r="K242" i="1" s="1"/>
  <c r="L242" i="1" s="1"/>
  <c r="G242" i="1"/>
  <c r="I241" i="1"/>
  <c r="K241" i="1" s="1"/>
  <c r="L241" i="1" s="1"/>
  <c r="G241" i="1"/>
  <c r="I240" i="1"/>
  <c r="J240" i="1" s="1"/>
  <c r="G240" i="1"/>
  <c r="I239" i="1"/>
  <c r="K239" i="1" s="1"/>
  <c r="L239" i="1" s="1"/>
  <c r="G239" i="1"/>
  <c r="I238" i="1"/>
  <c r="K238" i="1" s="1"/>
  <c r="L238" i="1" s="1"/>
  <c r="G238" i="1"/>
  <c r="I237" i="1"/>
  <c r="K237" i="1" s="1"/>
  <c r="L237" i="1" s="1"/>
  <c r="G237" i="1"/>
  <c r="I236" i="1"/>
  <c r="J236" i="1" s="1"/>
  <c r="G236" i="1"/>
  <c r="I235" i="1"/>
  <c r="K235" i="1" s="1"/>
  <c r="L235" i="1" s="1"/>
  <c r="G235" i="1"/>
  <c r="I234" i="1"/>
  <c r="K234" i="1" s="1"/>
  <c r="L234" i="1" s="1"/>
  <c r="G234" i="1"/>
  <c r="I233" i="1"/>
  <c r="K233" i="1" s="1"/>
  <c r="L233" i="1" s="1"/>
  <c r="G233" i="1"/>
  <c r="I232" i="1"/>
  <c r="J232" i="1" s="1"/>
  <c r="G232" i="1"/>
  <c r="J231" i="1"/>
  <c r="I231" i="1"/>
  <c r="K231" i="1" s="1"/>
  <c r="L231" i="1" s="1"/>
  <c r="G231" i="1"/>
  <c r="I230" i="1"/>
  <c r="K230" i="1" s="1"/>
  <c r="L230" i="1" s="1"/>
  <c r="G230" i="1"/>
  <c r="I229" i="1"/>
  <c r="K229" i="1" s="1"/>
  <c r="L229" i="1" s="1"/>
  <c r="G229" i="1"/>
  <c r="I228" i="1"/>
  <c r="J228" i="1" s="1"/>
  <c r="G228" i="1"/>
  <c r="I227" i="1"/>
  <c r="K227" i="1" s="1"/>
  <c r="L227" i="1" s="1"/>
  <c r="G227" i="1"/>
  <c r="I226" i="1"/>
  <c r="K226" i="1" s="1"/>
  <c r="L226" i="1" s="1"/>
  <c r="G226" i="1"/>
  <c r="I225" i="1"/>
  <c r="K225" i="1" s="1"/>
  <c r="L225" i="1" s="1"/>
  <c r="G225" i="1"/>
  <c r="I224" i="1"/>
  <c r="J224" i="1" s="1"/>
  <c r="G224" i="1"/>
  <c r="J223" i="1"/>
  <c r="I223" i="1"/>
  <c r="K223" i="1" s="1"/>
  <c r="L223" i="1" s="1"/>
  <c r="G223" i="1"/>
  <c r="I222" i="1"/>
  <c r="K222" i="1" s="1"/>
  <c r="L222" i="1" s="1"/>
  <c r="G222" i="1"/>
  <c r="I221" i="1"/>
  <c r="K221" i="1" s="1"/>
  <c r="L221" i="1" s="1"/>
  <c r="G221" i="1"/>
  <c r="K220" i="1"/>
  <c r="L220" i="1" s="1"/>
  <c r="I220" i="1"/>
  <c r="J220" i="1" s="1"/>
  <c r="G220" i="1"/>
  <c r="I219" i="1"/>
  <c r="K219" i="1" s="1"/>
  <c r="L219" i="1" s="1"/>
  <c r="G219" i="1"/>
  <c r="I218" i="1"/>
  <c r="K218" i="1" s="1"/>
  <c r="L218" i="1" s="1"/>
  <c r="G218" i="1"/>
  <c r="K217" i="1"/>
  <c r="L217" i="1" s="1"/>
  <c r="J217" i="1"/>
  <c r="I217" i="1"/>
  <c r="G217" i="1"/>
  <c r="I216" i="1"/>
  <c r="J216" i="1" s="1"/>
  <c r="G216" i="1"/>
  <c r="J215" i="1"/>
  <c r="I215" i="1"/>
  <c r="K215" i="1" s="1"/>
  <c r="L215" i="1" s="1"/>
  <c r="G215" i="1"/>
  <c r="I214" i="1"/>
  <c r="K214" i="1" s="1"/>
  <c r="L214" i="1" s="1"/>
  <c r="G214" i="1"/>
  <c r="I213" i="1"/>
  <c r="K213" i="1" s="1"/>
  <c r="L213" i="1" s="1"/>
  <c r="G213" i="1"/>
  <c r="I212" i="1"/>
  <c r="J212" i="1" s="1"/>
  <c r="G212" i="1"/>
  <c r="I211" i="1"/>
  <c r="K211" i="1" s="1"/>
  <c r="L211" i="1" s="1"/>
  <c r="G211" i="1"/>
  <c r="I210" i="1"/>
  <c r="J210" i="1" s="1"/>
  <c r="G210" i="1"/>
  <c r="I209" i="1"/>
  <c r="K209" i="1" s="1"/>
  <c r="L209" i="1" s="1"/>
  <c r="G209" i="1"/>
  <c r="I208" i="1"/>
  <c r="J208" i="1" s="1"/>
  <c r="G208" i="1"/>
  <c r="I207" i="1"/>
  <c r="K207" i="1" s="1"/>
  <c r="L207" i="1" s="1"/>
  <c r="G207" i="1"/>
  <c r="I206" i="1"/>
  <c r="K206" i="1" s="1"/>
  <c r="L206" i="1" s="1"/>
  <c r="G206" i="1"/>
  <c r="J205" i="1"/>
  <c r="I205" i="1"/>
  <c r="K205" i="1" s="1"/>
  <c r="L205" i="1" s="1"/>
  <c r="G205" i="1"/>
  <c r="K204" i="1"/>
  <c r="L204" i="1" s="1"/>
  <c r="J204" i="1"/>
  <c r="G204" i="1"/>
  <c r="K203" i="1"/>
  <c r="L203" i="1" s="1"/>
  <c r="J203" i="1"/>
  <c r="G203" i="1"/>
  <c r="K202" i="1"/>
  <c r="L202" i="1" s="1"/>
  <c r="J202" i="1"/>
  <c r="G202" i="1"/>
  <c r="K201" i="1"/>
  <c r="L201" i="1" s="1"/>
  <c r="J201" i="1"/>
  <c r="G201" i="1"/>
  <c r="K200" i="1"/>
  <c r="L200" i="1" s="1"/>
  <c r="J200" i="1"/>
  <c r="G200" i="1"/>
  <c r="K199" i="1"/>
  <c r="L199" i="1" s="1"/>
  <c r="J199" i="1"/>
  <c r="G199" i="1"/>
  <c r="K198" i="1"/>
  <c r="L198" i="1" s="1"/>
  <c r="J198" i="1"/>
  <c r="G198" i="1"/>
  <c r="K197" i="1"/>
  <c r="L197" i="1" s="1"/>
  <c r="J197" i="1"/>
  <c r="G197" i="1"/>
  <c r="K196" i="1"/>
  <c r="L196" i="1" s="1"/>
  <c r="J196" i="1"/>
  <c r="G196" i="1"/>
  <c r="K195" i="1"/>
  <c r="L195" i="1" s="1"/>
  <c r="J195" i="1"/>
  <c r="G195" i="1"/>
  <c r="K194" i="1"/>
  <c r="L194" i="1" s="1"/>
  <c r="J194" i="1"/>
  <c r="G194" i="1"/>
  <c r="K193" i="1"/>
  <c r="L193" i="1" s="1"/>
  <c r="J193" i="1"/>
  <c r="G193" i="1"/>
  <c r="K192" i="1"/>
  <c r="L192" i="1" s="1"/>
  <c r="J192" i="1"/>
  <c r="G192" i="1"/>
  <c r="K191" i="1"/>
  <c r="L191" i="1" s="1"/>
  <c r="J191" i="1"/>
  <c r="G191" i="1"/>
  <c r="K190" i="1"/>
  <c r="L190" i="1" s="1"/>
  <c r="J190" i="1"/>
  <c r="G190" i="1"/>
  <c r="K189" i="1"/>
  <c r="L189" i="1" s="1"/>
  <c r="J189" i="1"/>
  <c r="G189" i="1"/>
  <c r="K188" i="1"/>
  <c r="L188" i="1" s="1"/>
  <c r="J188" i="1"/>
  <c r="G188" i="1"/>
  <c r="K187" i="1"/>
  <c r="L187" i="1" s="1"/>
  <c r="J187" i="1"/>
  <c r="G187" i="1"/>
  <c r="K186" i="1"/>
  <c r="L186" i="1" s="1"/>
  <c r="J186" i="1"/>
  <c r="G186" i="1"/>
  <c r="K185" i="1"/>
  <c r="L185" i="1" s="1"/>
  <c r="J185" i="1"/>
  <c r="G185" i="1"/>
  <c r="K184" i="1"/>
  <c r="L184" i="1" s="1"/>
  <c r="J184" i="1"/>
  <c r="G184" i="1"/>
  <c r="K183" i="1"/>
  <c r="L183" i="1" s="1"/>
  <c r="J183" i="1"/>
  <c r="G183" i="1"/>
  <c r="K182" i="1"/>
  <c r="L182" i="1" s="1"/>
  <c r="J182" i="1"/>
  <c r="G182" i="1"/>
  <c r="K181" i="1"/>
  <c r="L181" i="1" s="1"/>
  <c r="J181" i="1"/>
  <c r="G181" i="1"/>
  <c r="K180" i="1"/>
  <c r="L180" i="1" s="1"/>
  <c r="J180" i="1"/>
  <c r="G180" i="1"/>
  <c r="K179" i="1"/>
  <c r="L179" i="1" s="1"/>
  <c r="J179" i="1"/>
  <c r="G179" i="1"/>
  <c r="K178" i="1"/>
  <c r="L178" i="1" s="1"/>
  <c r="J178" i="1"/>
  <c r="G178" i="1"/>
  <c r="K177" i="1"/>
  <c r="L177" i="1" s="1"/>
  <c r="J177" i="1"/>
  <c r="G177" i="1"/>
  <c r="K176" i="1"/>
  <c r="L176" i="1" s="1"/>
  <c r="J176" i="1"/>
  <c r="G176" i="1"/>
  <c r="K175" i="1"/>
  <c r="L175" i="1" s="1"/>
  <c r="J175" i="1"/>
  <c r="G175" i="1"/>
  <c r="K174" i="1"/>
  <c r="L174" i="1" s="1"/>
  <c r="J174" i="1"/>
  <c r="G174" i="1"/>
  <c r="K173" i="1"/>
  <c r="L173" i="1" s="1"/>
  <c r="J173" i="1"/>
  <c r="G173" i="1"/>
  <c r="K172" i="1"/>
  <c r="L172" i="1" s="1"/>
  <c r="J172" i="1"/>
  <c r="G172" i="1"/>
  <c r="K171" i="1"/>
  <c r="L171" i="1" s="1"/>
  <c r="J171" i="1"/>
  <c r="G171" i="1"/>
  <c r="K170" i="1"/>
  <c r="L170" i="1" s="1"/>
  <c r="J170" i="1"/>
  <c r="G170" i="1"/>
  <c r="K169" i="1"/>
  <c r="L169" i="1" s="1"/>
  <c r="J169" i="1"/>
  <c r="G169" i="1"/>
  <c r="K168" i="1"/>
  <c r="L168" i="1" s="1"/>
  <c r="J168" i="1"/>
  <c r="G168" i="1"/>
  <c r="K167" i="1"/>
  <c r="L167" i="1" s="1"/>
  <c r="J167" i="1"/>
  <c r="G167" i="1"/>
  <c r="K166" i="1"/>
  <c r="L166" i="1" s="1"/>
  <c r="J166" i="1"/>
  <c r="G166" i="1"/>
  <c r="K165" i="1"/>
  <c r="L165" i="1" s="1"/>
  <c r="J165" i="1"/>
  <c r="G165" i="1"/>
  <c r="K164" i="1"/>
  <c r="L164" i="1" s="1"/>
  <c r="J164" i="1"/>
  <c r="G164" i="1"/>
  <c r="K163" i="1"/>
  <c r="L163" i="1" s="1"/>
  <c r="J163" i="1"/>
  <c r="G163" i="1"/>
  <c r="K162" i="1"/>
  <c r="L162" i="1" s="1"/>
  <c r="J162" i="1"/>
  <c r="G162" i="1"/>
  <c r="K161" i="1"/>
  <c r="L161" i="1" s="1"/>
  <c r="J161" i="1"/>
  <c r="G161" i="1"/>
  <c r="K160" i="1"/>
  <c r="L160" i="1" s="1"/>
  <c r="J160" i="1"/>
  <c r="G160" i="1"/>
  <c r="K159" i="1"/>
  <c r="L159" i="1" s="1"/>
  <c r="J159" i="1"/>
  <c r="G159" i="1"/>
  <c r="K158" i="1"/>
  <c r="L158" i="1" s="1"/>
  <c r="J158" i="1"/>
  <c r="G158" i="1"/>
  <c r="K157" i="1"/>
  <c r="L157" i="1" s="1"/>
  <c r="J157" i="1"/>
  <c r="G157" i="1"/>
  <c r="K156" i="1"/>
  <c r="L156" i="1" s="1"/>
  <c r="J156" i="1"/>
  <c r="G156" i="1"/>
  <c r="K155" i="1"/>
  <c r="L155" i="1" s="1"/>
  <c r="J155" i="1"/>
  <c r="G155" i="1"/>
  <c r="K154" i="1"/>
  <c r="L154" i="1" s="1"/>
  <c r="J154" i="1"/>
  <c r="G154" i="1"/>
  <c r="K153" i="1"/>
  <c r="L153" i="1" s="1"/>
  <c r="J153" i="1"/>
  <c r="G153" i="1"/>
  <c r="K152" i="1"/>
  <c r="L152" i="1" s="1"/>
  <c r="J152" i="1"/>
  <c r="G152" i="1"/>
  <c r="K151" i="1"/>
  <c r="L151" i="1" s="1"/>
  <c r="J151" i="1"/>
  <c r="G151" i="1"/>
  <c r="K150" i="1"/>
  <c r="L150" i="1" s="1"/>
  <c r="J150" i="1"/>
  <c r="G150" i="1"/>
  <c r="K149" i="1"/>
  <c r="L149" i="1" s="1"/>
  <c r="J149" i="1"/>
  <c r="G149" i="1"/>
  <c r="K148" i="1"/>
  <c r="L148" i="1" s="1"/>
  <c r="J148" i="1"/>
  <c r="G148" i="1"/>
  <c r="K147" i="1"/>
  <c r="L147" i="1" s="1"/>
  <c r="J147" i="1"/>
  <c r="G147" i="1"/>
  <c r="K146" i="1"/>
  <c r="L146" i="1" s="1"/>
  <c r="J146" i="1"/>
  <c r="G146" i="1"/>
  <c r="K145" i="1"/>
  <c r="L145" i="1" s="1"/>
  <c r="J145" i="1"/>
  <c r="G145" i="1"/>
  <c r="K144" i="1"/>
  <c r="L144" i="1" s="1"/>
  <c r="J144" i="1"/>
  <c r="G144" i="1"/>
  <c r="K143" i="1"/>
  <c r="L143" i="1" s="1"/>
  <c r="J143" i="1"/>
  <c r="G143" i="1"/>
  <c r="K142" i="1"/>
  <c r="L142" i="1" s="1"/>
  <c r="J142" i="1"/>
  <c r="G142" i="1"/>
  <c r="K141" i="1"/>
  <c r="L141" i="1" s="1"/>
  <c r="J141" i="1"/>
  <c r="G141" i="1"/>
  <c r="K140" i="1"/>
  <c r="L140" i="1" s="1"/>
  <c r="I140" i="1"/>
  <c r="J140" i="1" s="1"/>
  <c r="G140" i="1"/>
  <c r="I139" i="1"/>
  <c r="K139" i="1" s="1"/>
  <c r="L139" i="1" s="1"/>
  <c r="G139" i="1"/>
  <c r="I138" i="1"/>
  <c r="J138" i="1" s="1"/>
  <c r="G138" i="1"/>
  <c r="I137" i="1"/>
  <c r="K137" i="1" s="1"/>
  <c r="L137" i="1" s="1"/>
  <c r="G137" i="1"/>
  <c r="I136" i="1"/>
  <c r="K136" i="1" s="1"/>
  <c r="L136" i="1" s="1"/>
  <c r="G136" i="1"/>
  <c r="J135" i="1"/>
  <c r="I135" i="1"/>
  <c r="K135" i="1" s="1"/>
  <c r="L135" i="1" s="1"/>
  <c r="G135" i="1"/>
  <c r="I134" i="1"/>
  <c r="K134" i="1" s="1"/>
  <c r="L134" i="1" s="1"/>
  <c r="G134" i="1"/>
  <c r="I133" i="1"/>
  <c r="K133" i="1" s="1"/>
  <c r="L133" i="1" s="1"/>
  <c r="G133" i="1"/>
  <c r="K132" i="1"/>
  <c r="L132" i="1" s="1"/>
  <c r="I132" i="1"/>
  <c r="J132" i="1" s="1"/>
  <c r="G132" i="1"/>
  <c r="J131" i="1"/>
  <c r="I131" i="1"/>
  <c r="K131" i="1" s="1"/>
  <c r="L131" i="1" s="1"/>
  <c r="G131" i="1"/>
  <c r="I130" i="1"/>
  <c r="J130" i="1" s="1"/>
  <c r="G130" i="1"/>
  <c r="K129" i="1"/>
  <c r="L129" i="1" s="1"/>
  <c r="J129" i="1"/>
  <c r="I129" i="1"/>
  <c r="G129" i="1"/>
  <c r="I128" i="1"/>
  <c r="K128" i="1" s="1"/>
  <c r="L128" i="1" s="1"/>
  <c r="G128" i="1"/>
  <c r="I127" i="1"/>
  <c r="K127" i="1" s="1"/>
  <c r="L127" i="1" s="1"/>
  <c r="G127" i="1"/>
  <c r="I126" i="1"/>
  <c r="K126" i="1" s="1"/>
  <c r="L126" i="1" s="1"/>
  <c r="G126" i="1"/>
  <c r="J125" i="1"/>
  <c r="I125" i="1"/>
  <c r="K125" i="1" s="1"/>
  <c r="L125" i="1" s="1"/>
  <c r="G125" i="1"/>
  <c r="I124" i="1"/>
  <c r="J124" i="1" s="1"/>
  <c r="G124" i="1"/>
  <c r="J123" i="1"/>
  <c r="I123" i="1"/>
  <c r="K123" i="1" s="1"/>
  <c r="L123" i="1" s="1"/>
  <c r="G123" i="1"/>
  <c r="K122" i="1"/>
  <c r="L122" i="1" s="1"/>
  <c r="I122" i="1"/>
  <c r="J122" i="1" s="1"/>
  <c r="G122" i="1"/>
  <c r="K121" i="1"/>
  <c r="L121" i="1" s="1"/>
  <c r="I121" i="1"/>
  <c r="J121" i="1" s="1"/>
  <c r="G121" i="1"/>
  <c r="I120" i="1"/>
  <c r="K120" i="1" s="1"/>
  <c r="L120" i="1" s="1"/>
  <c r="G120" i="1"/>
  <c r="I119" i="1"/>
  <c r="K119" i="1" s="1"/>
  <c r="L119" i="1" s="1"/>
  <c r="G119" i="1"/>
  <c r="I118" i="1"/>
  <c r="K118" i="1" s="1"/>
  <c r="L118" i="1" s="1"/>
  <c r="G118" i="1"/>
  <c r="L117" i="1"/>
  <c r="K117" i="1"/>
  <c r="J117" i="1"/>
  <c r="I117" i="1"/>
  <c r="G117" i="1"/>
  <c r="I116" i="1"/>
  <c r="J116" i="1" s="1"/>
  <c r="G116" i="1"/>
  <c r="J115" i="1"/>
  <c r="I115" i="1"/>
  <c r="K115" i="1" s="1"/>
  <c r="L115" i="1" s="1"/>
  <c r="G115" i="1"/>
  <c r="I114" i="1"/>
  <c r="J114" i="1" s="1"/>
  <c r="G114" i="1"/>
  <c r="I113" i="1"/>
  <c r="K113" i="1" s="1"/>
  <c r="L113" i="1" s="1"/>
  <c r="G113" i="1"/>
  <c r="I112" i="1"/>
  <c r="K112" i="1" s="1"/>
  <c r="L112" i="1" s="1"/>
  <c r="G112" i="1"/>
  <c r="I111" i="1"/>
  <c r="K111" i="1" s="1"/>
  <c r="L111" i="1" s="1"/>
  <c r="G111" i="1"/>
  <c r="I110" i="1"/>
  <c r="K110" i="1" s="1"/>
  <c r="L110" i="1" s="1"/>
  <c r="G110" i="1"/>
  <c r="I109" i="1"/>
  <c r="K109" i="1" s="1"/>
  <c r="L109" i="1" s="1"/>
  <c r="G109" i="1"/>
  <c r="I108" i="1"/>
  <c r="J108" i="1" s="1"/>
  <c r="G108" i="1"/>
  <c r="I107" i="1"/>
  <c r="K107" i="1" s="1"/>
  <c r="L107" i="1" s="1"/>
  <c r="G107" i="1"/>
  <c r="I106" i="1"/>
  <c r="J106" i="1" s="1"/>
  <c r="G106" i="1"/>
  <c r="I105" i="1"/>
  <c r="J105" i="1" s="1"/>
  <c r="G105" i="1"/>
  <c r="I104" i="1"/>
  <c r="K104" i="1" s="1"/>
  <c r="L104" i="1" s="1"/>
  <c r="G104" i="1"/>
  <c r="I103" i="1"/>
  <c r="K103" i="1" s="1"/>
  <c r="L103" i="1" s="1"/>
  <c r="G103" i="1"/>
  <c r="I102" i="1"/>
  <c r="K102" i="1" s="1"/>
  <c r="L102" i="1" s="1"/>
  <c r="G102" i="1"/>
  <c r="K101" i="1"/>
  <c r="L101" i="1" s="1"/>
  <c r="I101" i="1"/>
  <c r="J101" i="1" s="1"/>
  <c r="G101" i="1"/>
  <c r="I100" i="1"/>
  <c r="J100" i="1" s="1"/>
  <c r="G100" i="1"/>
  <c r="I99" i="1"/>
  <c r="K99" i="1" s="1"/>
  <c r="L99" i="1" s="1"/>
  <c r="G99" i="1"/>
  <c r="I98" i="1"/>
  <c r="J98" i="1" s="1"/>
  <c r="G98" i="1"/>
  <c r="I97" i="1"/>
  <c r="K97" i="1" s="1"/>
  <c r="L97" i="1" s="1"/>
  <c r="G97" i="1"/>
  <c r="I96" i="1"/>
  <c r="K96" i="1" s="1"/>
  <c r="L96" i="1" s="1"/>
  <c r="G96" i="1"/>
  <c r="I95" i="1"/>
  <c r="K95" i="1" s="1"/>
  <c r="L95" i="1" s="1"/>
  <c r="G95" i="1"/>
  <c r="I94" i="1"/>
  <c r="K94" i="1" s="1"/>
  <c r="L94" i="1" s="1"/>
  <c r="G94" i="1"/>
  <c r="I93" i="1"/>
  <c r="K93" i="1" s="1"/>
  <c r="L93" i="1" s="1"/>
  <c r="G93" i="1"/>
  <c r="I92" i="1"/>
  <c r="J92" i="1" s="1"/>
  <c r="G92" i="1"/>
  <c r="I91" i="1"/>
  <c r="K91" i="1" s="1"/>
  <c r="L91" i="1" s="1"/>
  <c r="G91" i="1"/>
  <c r="I90" i="1"/>
  <c r="J90" i="1" s="1"/>
  <c r="G90" i="1"/>
  <c r="K89" i="1"/>
  <c r="L89" i="1" s="1"/>
  <c r="J89" i="1"/>
  <c r="I89" i="1"/>
  <c r="G89" i="1"/>
  <c r="I88" i="1"/>
  <c r="K88" i="1" s="1"/>
  <c r="L88" i="1" s="1"/>
  <c r="G88" i="1"/>
  <c r="I87" i="1"/>
  <c r="K87" i="1" s="1"/>
  <c r="L87" i="1" s="1"/>
  <c r="G87" i="1"/>
  <c r="I86" i="1"/>
  <c r="K86" i="1" s="1"/>
  <c r="L86" i="1" s="1"/>
  <c r="G86" i="1"/>
  <c r="K85" i="1"/>
  <c r="L85" i="1" s="1"/>
  <c r="J85" i="1"/>
  <c r="I85" i="1"/>
  <c r="G85" i="1"/>
  <c r="I84" i="1"/>
  <c r="J84" i="1" s="1"/>
  <c r="G84" i="1"/>
  <c r="J83" i="1"/>
  <c r="I83" i="1"/>
  <c r="K83" i="1" s="1"/>
  <c r="L83" i="1" s="1"/>
  <c r="G83" i="1"/>
  <c r="I82" i="1"/>
  <c r="J82" i="1" s="1"/>
  <c r="G82" i="1"/>
  <c r="I81" i="1"/>
  <c r="K81" i="1" s="1"/>
  <c r="L81" i="1" s="1"/>
  <c r="G81" i="1"/>
  <c r="I80" i="1"/>
  <c r="K80" i="1" s="1"/>
  <c r="L80" i="1" s="1"/>
  <c r="G80" i="1"/>
  <c r="I79" i="1"/>
  <c r="K79" i="1" s="1"/>
  <c r="L79" i="1" s="1"/>
  <c r="G79" i="1"/>
  <c r="I78" i="1"/>
  <c r="K78" i="1" s="1"/>
  <c r="L78" i="1" s="1"/>
  <c r="G78" i="1"/>
  <c r="J77" i="1"/>
  <c r="I77" i="1"/>
  <c r="K77" i="1" s="1"/>
  <c r="L77" i="1" s="1"/>
  <c r="G77" i="1"/>
  <c r="I76" i="1"/>
  <c r="J76" i="1" s="1"/>
  <c r="G76" i="1"/>
  <c r="I75" i="1"/>
  <c r="K75" i="1" s="1"/>
  <c r="L75" i="1" s="1"/>
  <c r="G75" i="1"/>
  <c r="I74" i="1"/>
  <c r="J74" i="1" s="1"/>
  <c r="G74" i="1"/>
  <c r="L73" i="1"/>
  <c r="K73" i="1"/>
  <c r="J73" i="1"/>
  <c r="I73" i="1"/>
  <c r="G73" i="1"/>
  <c r="I72" i="1"/>
  <c r="K72" i="1" s="1"/>
  <c r="L72" i="1" s="1"/>
  <c r="G72" i="1"/>
  <c r="I71" i="1"/>
  <c r="K71" i="1" s="1"/>
  <c r="L71" i="1" s="1"/>
  <c r="G71" i="1"/>
  <c r="H70" i="1"/>
  <c r="K70" i="1" s="1"/>
  <c r="L70" i="1" s="1"/>
  <c r="I69" i="1"/>
  <c r="H69" i="1"/>
  <c r="H68" i="1"/>
  <c r="K68" i="1" s="1"/>
  <c r="L68" i="1" s="1"/>
  <c r="H67" i="1"/>
  <c r="K67" i="1" s="1"/>
  <c r="L67" i="1" s="1"/>
  <c r="J66" i="1"/>
  <c r="H66" i="1"/>
  <c r="K66" i="1" s="1"/>
  <c r="L66" i="1" s="1"/>
  <c r="F66" i="1"/>
  <c r="H65" i="1"/>
  <c r="K65" i="1" s="1"/>
  <c r="L65" i="1" s="1"/>
  <c r="H64" i="1"/>
  <c r="J64" i="1" s="1"/>
  <c r="H63" i="1"/>
  <c r="K63" i="1" s="1"/>
  <c r="L63" i="1" s="1"/>
  <c r="H62" i="1"/>
  <c r="J62" i="1" s="1"/>
  <c r="F62" i="1"/>
  <c r="H61" i="1"/>
  <c r="K61" i="1" s="1"/>
  <c r="L61" i="1" s="1"/>
  <c r="H60" i="1"/>
  <c r="K60" i="1" s="1"/>
  <c r="L60" i="1" s="1"/>
  <c r="J59" i="1"/>
  <c r="H59" i="1"/>
  <c r="K59" i="1" s="1"/>
  <c r="L59" i="1" s="1"/>
  <c r="H58" i="1"/>
  <c r="K58" i="1" s="1"/>
  <c r="L58" i="1" s="1"/>
  <c r="H57" i="1"/>
  <c r="K57" i="1" s="1"/>
  <c r="L57" i="1" s="1"/>
  <c r="F57" i="1"/>
  <c r="H56" i="1"/>
  <c r="J56" i="1" s="1"/>
  <c r="H55" i="1"/>
  <c r="K55" i="1" s="1"/>
  <c r="L55" i="1" s="1"/>
  <c r="K54" i="1"/>
  <c r="L54" i="1" s="1"/>
  <c r="I54" i="1"/>
  <c r="J54" i="1" s="1"/>
  <c r="H54" i="1"/>
  <c r="I53" i="1"/>
  <c r="J53" i="1" s="1"/>
  <c r="H53" i="1"/>
  <c r="H52" i="1"/>
  <c r="K52" i="1" s="1"/>
  <c r="L52" i="1" s="1"/>
  <c r="J51" i="1"/>
  <c r="I51" i="1"/>
  <c r="H51" i="1"/>
  <c r="H50" i="1"/>
  <c r="K50" i="1" s="1"/>
  <c r="L50" i="1" s="1"/>
  <c r="H49" i="1"/>
  <c r="K49" i="1" s="1"/>
  <c r="L49" i="1" s="1"/>
  <c r="H48" i="1"/>
  <c r="K48" i="1" s="1"/>
  <c r="L48" i="1" s="1"/>
  <c r="J47" i="1"/>
  <c r="H47" i="1"/>
  <c r="K47" i="1" s="1"/>
  <c r="L47" i="1" s="1"/>
  <c r="J46" i="1"/>
  <c r="H46" i="1"/>
  <c r="K46" i="1" s="1"/>
  <c r="L46" i="1" s="1"/>
  <c r="H45" i="1"/>
  <c r="K45" i="1" s="1"/>
  <c r="L45" i="1" s="1"/>
  <c r="H44" i="1"/>
  <c r="K44" i="1" s="1"/>
  <c r="L44" i="1" s="1"/>
  <c r="J43" i="1"/>
  <c r="I43" i="1"/>
  <c r="H43" i="1"/>
  <c r="H42" i="1"/>
  <c r="K42" i="1" s="1"/>
  <c r="L42" i="1" s="1"/>
  <c r="F42" i="1"/>
  <c r="J41" i="1"/>
  <c r="H41" i="1"/>
  <c r="K41" i="1" s="1"/>
  <c r="L41" i="1" s="1"/>
  <c r="H40" i="1"/>
  <c r="K40" i="1" s="1"/>
  <c r="L40" i="1" s="1"/>
  <c r="H39" i="1"/>
  <c r="K39" i="1" s="1"/>
  <c r="L39" i="1" s="1"/>
  <c r="I38" i="1"/>
  <c r="H38" i="1"/>
  <c r="H37" i="1"/>
  <c r="K37" i="1" s="1"/>
  <c r="L37" i="1" s="1"/>
  <c r="H36" i="1"/>
  <c r="J36" i="1" s="1"/>
  <c r="I35" i="1"/>
  <c r="H35" i="1"/>
  <c r="I34" i="1"/>
  <c r="H34" i="1"/>
  <c r="K34" i="1" s="1"/>
  <c r="L34" i="1" s="1"/>
  <c r="H33" i="1"/>
  <c r="K33" i="1" s="1"/>
  <c r="L33" i="1" s="1"/>
  <c r="F33" i="1"/>
  <c r="H32" i="1"/>
  <c r="K32" i="1" s="1"/>
  <c r="L32" i="1" s="1"/>
  <c r="H31" i="1"/>
  <c r="K31" i="1" s="1"/>
  <c r="L31" i="1" s="1"/>
  <c r="K30" i="1"/>
  <c r="L30" i="1" s="1"/>
  <c r="J30" i="1"/>
  <c r="H30" i="1"/>
  <c r="H29" i="1"/>
  <c r="K29" i="1" s="1"/>
  <c r="L29" i="1" s="1"/>
  <c r="H28" i="1"/>
  <c r="K28" i="1" s="1"/>
  <c r="L28" i="1" s="1"/>
  <c r="I27" i="1"/>
  <c r="H27" i="1"/>
  <c r="I26" i="1"/>
  <c r="H26" i="1"/>
  <c r="J25" i="1"/>
  <c r="H25" i="1"/>
  <c r="K25" i="1" s="1"/>
  <c r="L25" i="1" s="1"/>
  <c r="F25" i="1"/>
  <c r="H24" i="1"/>
  <c r="K24" i="1" s="1"/>
  <c r="L24" i="1" s="1"/>
  <c r="H23" i="1"/>
  <c r="J23" i="1" s="1"/>
  <c r="H22" i="1"/>
  <c r="K22" i="1" s="1"/>
  <c r="L22" i="1" s="1"/>
  <c r="F22" i="1"/>
  <c r="H21" i="1"/>
  <c r="J21" i="1" s="1"/>
  <c r="K20" i="1"/>
  <c r="L20" i="1" s="1"/>
  <c r="J20" i="1"/>
  <c r="H20" i="1"/>
  <c r="F20" i="1"/>
  <c r="H19" i="1"/>
  <c r="K19" i="1" s="1"/>
  <c r="L19" i="1" s="1"/>
  <c r="F19" i="1"/>
  <c r="H18" i="1"/>
  <c r="K18" i="1" s="1"/>
  <c r="L18" i="1" s="1"/>
  <c r="H17" i="1"/>
  <c r="K17" i="1" s="1"/>
  <c r="L17" i="1" s="1"/>
  <c r="F17" i="1"/>
  <c r="K16" i="1"/>
  <c r="L16" i="1" s="1"/>
  <c r="H16" i="1"/>
  <c r="J16" i="1" s="1"/>
  <c r="F16" i="1"/>
  <c r="H15" i="1"/>
  <c r="K15" i="1" s="1"/>
  <c r="L15" i="1" s="1"/>
  <c r="K14" i="1"/>
  <c r="L14" i="1" s="1"/>
  <c r="H14" i="1"/>
  <c r="J14" i="1" s="1"/>
  <c r="H13" i="1"/>
  <c r="K13" i="1" s="1"/>
  <c r="L13" i="1" s="1"/>
  <c r="K12" i="1"/>
  <c r="L12" i="1" s="1"/>
  <c r="H12" i="1"/>
  <c r="J12" i="1" s="1"/>
  <c r="F12" i="1"/>
  <c r="I11" i="1"/>
  <c r="H11" i="1"/>
  <c r="H10" i="1"/>
  <c r="K10" i="1" s="1"/>
  <c r="L10" i="1" s="1"/>
  <c r="H9" i="1"/>
  <c r="K9" i="1" s="1"/>
  <c r="L9" i="1" s="1"/>
  <c r="H8" i="1"/>
  <c r="K8" i="1" s="1"/>
  <c r="L8" i="1" s="1"/>
  <c r="F8" i="1"/>
  <c r="K7" i="1"/>
  <c r="L7" i="1" s="1"/>
  <c r="H7" i="1"/>
  <c r="J7" i="1" s="1"/>
  <c r="F7" i="1"/>
  <c r="H6" i="1"/>
  <c r="K6" i="1" s="1"/>
  <c r="L6" i="1" s="1"/>
  <c r="H5" i="1"/>
  <c r="K5" i="1" s="1"/>
  <c r="L5" i="1" s="1"/>
  <c r="H4" i="1"/>
  <c r="K4" i="1" s="1"/>
  <c r="L4" i="1" s="1"/>
  <c r="H3" i="1"/>
  <c r="K3" i="1" s="1"/>
  <c r="L3" i="1" s="1"/>
  <c r="J9" i="1" l="1"/>
  <c r="J28" i="1"/>
  <c r="J32" i="1"/>
  <c r="J40" i="1"/>
  <c r="J81" i="1"/>
  <c r="J113" i="1"/>
  <c r="K124" i="1"/>
  <c r="L124" i="1" s="1"/>
  <c r="J127" i="1"/>
  <c r="J209" i="1"/>
  <c r="K212" i="1"/>
  <c r="L212" i="1" s="1"/>
  <c r="K36" i="1"/>
  <c r="L36" i="1" s="1"/>
  <c r="J50" i="1"/>
  <c r="J58" i="1"/>
  <c r="J68" i="1"/>
  <c r="K90" i="1"/>
  <c r="L90" i="1" s="1"/>
  <c r="J93" i="1"/>
  <c r="K100" i="1"/>
  <c r="L100" i="1" s="1"/>
  <c r="J119" i="1"/>
  <c r="K130" i="1"/>
  <c r="L130" i="1" s="1"/>
  <c r="J11" i="1"/>
  <c r="K21" i="1"/>
  <c r="L21" i="1" s="1"/>
  <c r="K51" i="1"/>
  <c r="L51" i="1" s="1"/>
  <c r="K69" i="1"/>
  <c r="L69" i="1" s="1"/>
  <c r="J75" i="1"/>
  <c r="J133" i="1"/>
  <c r="K216" i="1"/>
  <c r="L216" i="1" s="1"/>
  <c r="J241" i="1"/>
  <c r="K38" i="1"/>
  <c r="L38" i="1" s="1"/>
  <c r="J91" i="1"/>
  <c r="J39" i="1"/>
  <c r="K53" i="1"/>
  <c r="L53" i="1" s="1"/>
  <c r="J61" i="1"/>
  <c r="J95" i="1"/>
  <c r="K105" i="1"/>
  <c r="L105" i="1" s="1"/>
  <c r="J3" i="1"/>
  <c r="J5" i="1"/>
  <c r="J10" i="1"/>
  <c r="K26" i="1"/>
  <c r="L26" i="1" s="1"/>
  <c r="J44" i="1"/>
  <c r="J48" i="1"/>
  <c r="K62" i="1"/>
  <c r="L62" i="1" s="1"/>
  <c r="J71" i="1"/>
  <c r="K76" i="1"/>
  <c r="L76" i="1" s="1"/>
  <c r="K98" i="1"/>
  <c r="L98" i="1" s="1"/>
  <c r="J103" i="1"/>
  <c r="K108" i="1"/>
  <c r="L108" i="1" s="1"/>
  <c r="K138" i="1"/>
  <c r="L138" i="1" s="1"/>
  <c r="J207" i="1"/>
  <c r="J229" i="1"/>
  <c r="K232" i="1"/>
  <c r="L232" i="1" s="1"/>
  <c r="J13" i="1"/>
  <c r="J15" i="1"/>
  <c r="J17" i="1"/>
  <c r="K27" i="1"/>
  <c r="L27" i="1" s="1"/>
  <c r="J29" i="1"/>
  <c r="J31" i="1"/>
  <c r="J45" i="1"/>
  <c r="J49" i="1"/>
  <c r="K56" i="1"/>
  <c r="L56" i="1" s="1"/>
  <c r="K74" i="1"/>
  <c r="L74" i="1" s="1"/>
  <c r="J79" i="1"/>
  <c r="K84" i="1"/>
  <c r="L84" i="1" s="1"/>
  <c r="K106" i="1"/>
  <c r="L106" i="1" s="1"/>
  <c r="J111" i="1"/>
  <c r="K116" i="1"/>
  <c r="L116" i="1" s="1"/>
  <c r="K210" i="1"/>
  <c r="L210" i="1" s="1"/>
  <c r="J213" i="1"/>
  <c r="J221" i="1"/>
  <c r="K224" i="1"/>
  <c r="L224" i="1" s="1"/>
  <c r="K11" i="1"/>
  <c r="L11" i="1" s="1"/>
  <c r="K23" i="1"/>
  <c r="L23" i="1" s="1"/>
  <c r="J60" i="1"/>
  <c r="K64" i="1"/>
  <c r="L64" i="1" s="1"/>
  <c r="J67" i="1"/>
  <c r="J69" i="1"/>
  <c r="J97" i="1"/>
  <c r="J99" i="1"/>
  <c r="J109" i="1"/>
  <c r="J137" i="1"/>
  <c r="J139" i="1"/>
  <c r="K208" i="1"/>
  <c r="L208" i="1" s="1"/>
  <c r="J233" i="1"/>
  <c r="K236" i="1"/>
  <c r="L236" i="1" s="1"/>
  <c r="J239" i="1"/>
  <c r="J4" i="1"/>
  <c r="J6" i="1"/>
  <c r="J8" i="1"/>
  <c r="J18" i="1"/>
  <c r="J27" i="1"/>
  <c r="K43" i="1"/>
  <c r="L43" i="1" s="1"/>
  <c r="K82" i="1"/>
  <c r="L82" i="1" s="1"/>
  <c r="J87" i="1"/>
  <c r="K92" i="1"/>
  <c r="L92" i="1" s="1"/>
  <c r="K114" i="1"/>
  <c r="L114" i="1" s="1"/>
  <c r="J34" i="1"/>
  <c r="J38" i="1"/>
  <c r="J57" i="1"/>
  <c r="J107" i="1"/>
  <c r="J225" i="1"/>
  <c r="K228" i="1"/>
  <c r="L228" i="1" s="1"/>
  <c r="K35" i="1"/>
  <c r="L35" i="1" s="1"/>
  <c r="J237" i="1"/>
  <c r="K240" i="1"/>
  <c r="L240" i="1" s="1"/>
  <c r="J22" i="1"/>
  <c r="J24" i="1"/>
  <c r="J33" i="1"/>
  <c r="J42" i="1"/>
  <c r="J55" i="1"/>
  <c r="J70" i="1"/>
  <c r="J78" i="1"/>
  <c r="J86" i="1"/>
  <c r="J94" i="1"/>
  <c r="J102" i="1"/>
  <c r="J110" i="1"/>
  <c r="J118" i="1"/>
  <c r="J126" i="1"/>
  <c r="J134" i="1"/>
  <c r="J206" i="1"/>
  <c r="J214" i="1"/>
  <c r="J222" i="1"/>
  <c r="J230" i="1"/>
  <c r="J238" i="1"/>
  <c r="J243" i="1"/>
  <c r="J211" i="1"/>
  <c r="J219" i="1"/>
  <c r="J227" i="1"/>
  <c r="J235" i="1"/>
  <c r="J19" i="1"/>
  <c r="J26" i="1"/>
  <c r="J35" i="1"/>
  <c r="J37" i="1"/>
  <c r="J52" i="1"/>
  <c r="J63" i="1"/>
  <c r="J65" i="1"/>
  <c r="J72" i="1"/>
  <c r="J80" i="1"/>
  <c r="J88" i="1"/>
  <c r="J96" i="1"/>
  <c r="J104" i="1"/>
  <c r="J112" i="1"/>
  <c r="J120" i="1"/>
  <c r="J128" i="1"/>
  <c r="J136" i="1"/>
  <c r="J218" i="1"/>
  <c r="J226" i="1"/>
  <c r="J234" i="1"/>
  <c r="J242" i="1"/>
  <c r="J244" i="1"/>
</calcChain>
</file>

<file path=xl/sharedStrings.xml><?xml version="1.0" encoding="utf-8"?>
<sst xmlns="http://schemas.openxmlformats.org/spreadsheetml/2006/main" count="740" uniqueCount="106">
  <si>
    <t>PLATFORM</t>
  </si>
  <si>
    <t>BRAND</t>
  </si>
  <si>
    <t>SHOPEE</t>
  </si>
  <si>
    <t>2023</t>
  </si>
  <si>
    <t>2024</t>
  </si>
  <si>
    <t>2025</t>
  </si>
  <si>
    <t>EST 2026</t>
  </si>
  <si>
    <t>YTD AUG'26</t>
  </si>
  <si>
    <t>TARGET 2026</t>
  </si>
  <si>
    <t>KURANG TARGET</t>
  </si>
  <si>
    <t>Ach</t>
  </si>
  <si>
    <t>Status</t>
  </si>
  <si>
    <t>Sales Trend</t>
  </si>
  <si>
    <t>BANANA BOAT</t>
  </si>
  <si>
    <t>Aloe Gel (90ML)</t>
  </si>
  <si>
    <t>Aloe Vera Gel (230 ML)</t>
  </si>
  <si>
    <t>AQUA Brightening UV Protection Sunscreen Lotion SPF 50+</t>
  </si>
  <si>
    <t xml:space="preserve">AQUA Sensitive Skin Sunscreen Lotion SPF50+ </t>
  </si>
  <si>
    <t>Clear Ultramist Sport Coolzone Spray SPF 50</t>
  </si>
  <si>
    <t>Deep Tanning Oil</t>
  </si>
  <si>
    <t>Deep Tanning Oil SPF 4</t>
  </si>
  <si>
    <t>Protective Tanning Oil SPF 15</t>
  </si>
  <si>
    <t>Protective Tanning Oil SPF 8</t>
  </si>
  <si>
    <t>Simply Protect AQUA Daily Moisture Sunscreen Lotion SPF 50+</t>
  </si>
  <si>
    <t>Simply Protect AQUA Daily Moisture Sunscreen Lotion SPF 50+ BEARZZING</t>
  </si>
  <si>
    <t>Simply Protect AQUA Long Wearing Moisture Sunscreen Lotion SPF 50+</t>
  </si>
  <si>
    <t>Simply Protect AQUA Long Wearing Moisture Sunscreen Lotion SPF 50+ RABBITZZING</t>
  </si>
  <si>
    <t>Simply Protect Baby Sunscreen Lotion SPF 50+</t>
  </si>
  <si>
    <t>Simply Protect Kids Sunscreen Lotion SPF 50+</t>
  </si>
  <si>
    <t>Sport SPF 30</t>
  </si>
  <si>
    <t>Sport SPF 50 (90 ML)</t>
  </si>
  <si>
    <t>Sport SPF 50++ (90 ML)</t>
  </si>
  <si>
    <t>Sun Comfort SPF 50</t>
  </si>
  <si>
    <t>Ultra Protect Faces Lotion SPF 50</t>
  </si>
  <si>
    <t>Ultra Protect SPF 30</t>
  </si>
  <si>
    <t>Ultra Protect SPF 50 (90 ML)</t>
  </si>
  <si>
    <t>Ultramist Ultra Protect Lotion SPF 50</t>
  </si>
  <si>
    <t>FREEMAN</t>
  </si>
  <si>
    <t>CHARCOAL &amp; BLACK SUGAR POLISHING MASK</t>
  </si>
  <si>
    <t>CHARCOAL MUD MASK DETOXIFYING MASK</t>
  </si>
  <si>
    <t>DEAD SEA MINERAL FACIAL ANTI STRESS MASK</t>
  </si>
  <si>
    <t>French Pink Clay Peel-Off Mask</t>
  </si>
  <si>
    <t>GLACIER WATER PINK PEONY GEL CREAM MASK</t>
  </si>
  <si>
    <t>Hawaiian Black Salt Peel-Off Mask</t>
  </si>
  <si>
    <t>Indian Turmeric Gel Cream Mask</t>
  </si>
  <si>
    <t>Indonesian Coconut Face Scrub</t>
  </si>
  <si>
    <t>MINT &amp; LEMON FACIAL CLAY MASK</t>
  </si>
  <si>
    <t>Strawberry Milk - Body Sugar Scrub</t>
  </si>
  <si>
    <t>SWEET TEA &amp; LEMON PELL AWAY CLAY MASK</t>
  </si>
  <si>
    <t>INTUITION</t>
  </si>
  <si>
    <t>SC EXACTA 2 WOMEN 2+1 PINK</t>
  </si>
  <si>
    <t>SC INTUITION AM SHEA BUTTER KIT1 REFRESH (KOR)</t>
  </si>
  <si>
    <t>SC Intuition Kit Lemon Berry Breeze</t>
  </si>
  <si>
    <t xml:space="preserve">SC Intuition Kit Perfect Touch </t>
  </si>
  <si>
    <t>SC INTUITION KIT PURE NOURISHMENT (UNGU)</t>
  </si>
  <si>
    <t>SC INTUITION KIT SENSITIVE CARE (HIJAU)</t>
  </si>
  <si>
    <t>SC INTUITION REF (PINK) 4 blades</t>
  </si>
  <si>
    <t>SC Intuition Ref Perfect Touch</t>
  </si>
  <si>
    <t>SC INTUITION REF PURE NOURISHMENT (UNGU)</t>
  </si>
  <si>
    <t>SC INTUITION REF SENSITIVE CARE (HIJAU)</t>
  </si>
  <si>
    <t>SC Intuition Sensitive Care Compact</t>
  </si>
  <si>
    <t>SC SILK EFFECTS KIT</t>
  </si>
  <si>
    <t>SC XTREME 3 COMF + WOMEN 45 HT</t>
  </si>
  <si>
    <t>SCHICK</t>
  </si>
  <si>
    <t>HYDRO SENSE COMFORT KIT 1</t>
  </si>
  <si>
    <t>HYDRO SENSE HYDRATE KIT 1</t>
  </si>
  <si>
    <t>HYDRO SENSE HYDRATE REFILL 4</t>
  </si>
  <si>
    <t>HYDRO SILK PM2 KIT 2 UNTAG (END)</t>
  </si>
  <si>
    <t>HYDRO SILK PM2 REFILL 4 (KOR)</t>
  </si>
  <si>
    <t>SC EXACTA 2 REG 2 BIRU</t>
  </si>
  <si>
    <t>SC EXACTA 2 REG HANGER BIRU</t>
  </si>
  <si>
    <t>SC EXACTA 2 SEN 2+1 HIJAU</t>
  </si>
  <si>
    <t>SC EXACTA 2 SEN 5+2</t>
  </si>
  <si>
    <t>SC EXACTA 2 SEN HANGER HIJAU</t>
  </si>
  <si>
    <t>SC EXACTA 2 SYS KIT 1+2</t>
  </si>
  <si>
    <t>SC EXACTA 2 SYS REFILL 2</t>
  </si>
  <si>
    <t>SC EYEBROW STYLING &amp; FACIAL EXFOLIATION /  TOUCH UP</t>
  </si>
  <si>
    <t>SC PRECISION STYLER</t>
  </si>
  <si>
    <t>SC QUATTRO TIT FREESTYLE</t>
  </si>
  <si>
    <t>SC QUATTRO TIT KIT</t>
  </si>
  <si>
    <t>SC QUATTRO TIT REFILL</t>
  </si>
  <si>
    <t>SC SHAVE GUARD FOAM LIME 60 ML/ 60 GR</t>
  </si>
  <si>
    <t>SC SHAVE GUARD FOAM SENSITIVE LIME 220 ML/ 210 GR</t>
  </si>
  <si>
    <t>SC XTREME 3 MEN DISP</t>
  </si>
  <si>
    <t>SC XTREME 3 MEN DISP 2+1</t>
  </si>
  <si>
    <t>TOKOPEDIA</t>
  </si>
  <si>
    <t>Deep Tanning Oil SPF 2</t>
  </si>
  <si>
    <t>SC Intuition Ref Lemon Berry Breeze</t>
  </si>
  <si>
    <t>DOUBLE EDGE</t>
  </si>
  <si>
    <t>HYDRO SENSE COMFORT REFILL 4</t>
  </si>
  <si>
    <t>SC EXACTA 2 REG HANGER YELLOW</t>
  </si>
  <si>
    <t>ALFAGIFT</t>
  </si>
  <si>
    <t>CUCUMBER FACIAL PELL OFF MASK</t>
  </si>
  <si>
    <t>PCA</t>
  </si>
  <si>
    <t>SC Intuition Kit Advance Moisture LEP</t>
  </si>
  <si>
    <t>SC Intuition Kit Bright Radiance</t>
  </si>
  <si>
    <t>SC Intuition Kit Pure Nourishment LEP</t>
  </si>
  <si>
    <t>SC Intuition Ref Bright Radiance</t>
  </si>
  <si>
    <t>SC SILK EFFECT REFILL</t>
  </si>
  <si>
    <t>SC Reload 2 KIT 1</t>
  </si>
  <si>
    <t>SC Reload 2 Refill 2</t>
  </si>
  <si>
    <t>Bli-Bli</t>
  </si>
  <si>
    <t>Berhasil Tumbuh Bersama</t>
  </si>
  <si>
    <t>SC INTUITION KIT BLOSSOM</t>
  </si>
  <si>
    <t>Lazada</t>
  </si>
  <si>
    <t>Analisa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</si>
</sst>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3" fillId="2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9" fontId="3" fillId="2" borderId="0" xfId="1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0" applyNumberFormat="1"/>
    <xf numFmtId="9" fontId="0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164" fontId="0" fillId="0" borderId="1" xfId="0" applyNumberFormat="1" applyBorder="1"/>
    <xf numFmtId="9" fontId="2" fillId="0" borderId="0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4" fillId="0" borderId="0" xfId="2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evaluasi-ecom.streamlit.ap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0</xdr:row>
      <xdr:rowOff>19050</xdr:rowOff>
    </xdr:from>
    <xdr:to>
      <xdr:col>0</xdr:col>
      <xdr:colOff>1441450</xdr:colOff>
      <xdr:row>0</xdr:row>
      <xdr:rowOff>273050</xdr:rowOff>
    </xdr:to>
    <xdr:sp macro="" textlink="">
      <xdr:nvSpPr>
        <xdr:cNvPr id="2" name="btnAnalisaDat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0CE006-B178-111F-83CF-6EFAC72904F2}"/>
            </a:ext>
          </a:extLst>
        </xdr:cNvPr>
        <xdr:cNvSpPr/>
      </xdr:nvSpPr>
      <xdr:spPr>
        <a:xfrm>
          <a:off x="184150" y="19050"/>
          <a:ext cx="1257300" cy="254000"/>
        </a:xfrm>
        <a:prstGeom prst="roundRect">
          <a:avLst/>
        </a:prstGeom>
        <a:solidFill>
          <a:srgbClr val="16A34A"/>
        </a:solidFill>
        <a:ln>
          <a:solidFill>
            <a:srgbClr val="15803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rgbClr val="FFFFFF"/>
              </a:solidFill>
            </a:rPr>
            <a:t>Analisa Data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3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8CD4-B85B-430B-96D3-F1EB36535E05}">
  <dimension ref="A1:N244"/>
  <sheetViews>
    <sheetView tabSelected="1" workbookViewId="0">
      <selection activeCell="C8" sqref="C8"/>
    </sheetView>
  </sheetViews>
  <sheetFormatPr defaultRowHeight="14.5" x14ac:dyDescent="0.35"/>
  <cols>
    <col min="1" max="1" width="23.90625" style="1" customWidth="1"/>
    <col min="2" max="2" width="18.7265625" style="1" bestFit="1" customWidth="1"/>
    <col min="3" max="3" width="70.6328125" customWidth="1"/>
    <col min="4" max="9" width="12.6328125" customWidth="1"/>
    <col min="10" max="10" width="14.81640625" bestFit="1" customWidth="1"/>
    <col min="12" max="12" width="10.08984375" customWidth="1"/>
    <col min="13" max="13" width="10.453125" style="1" bestFit="1" customWidth="1"/>
  </cols>
  <sheetData>
    <row r="1" spans="1:14" ht="22" customHeight="1" x14ac:dyDescent="0.35">
      <c r="A1" s="19" t="s">
        <v>105</v>
      </c>
    </row>
    <row r="2" spans="1:14" x14ac:dyDescent="0.35">
      <c r="A2" s="3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7" t="s">
        <v>12</v>
      </c>
    </row>
    <row r="3" spans="1:14" x14ac:dyDescent="0.35">
      <c r="A3" s="1" t="s">
        <v>2</v>
      </c>
      <c r="B3" s="8" t="s">
        <v>13</v>
      </c>
      <c r="C3" s="9" t="s">
        <v>14</v>
      </c>
      <c r="D3" s="10">
        <v>12096000</v>
      </c>
      <c r="E3" s="10">
        <v>18144000</v>
      </c>
      <c r="F3" s="10">
        <v>27072000</v>
      </c>
      <c r="G3" s="10">
        <v>40770000</v>
      </c>
      <c r="H3" s="10">
        <f t="shared" ref="H3:H66" si="0">(G3/12)*8</f>
        <v>27180000</v>
      </c>
      <c r="I3" s="10">
        <v>40770000</v>
      </c>
      <c r="J3" s="10">
        <f t="shared" ref="J3:J66" si="1">H3-I3</f>
        <v>-13590000</v>
      </c>
      <c r="K3" s="11">
        <f t="shared" ref="K3:K34" si="2">H3/I3</f>
        <v>0.66666666666666663</v>
      </c>
      <c r="L3" s="1" t="str">
        <f>IF(AND(K3&gt;=50%)*M3&gt;0%,"Fast","Slow")</f>
        <v>Fast</v>
      </c>
      <c r="M3" s="11">
        <v>0.49934917820556118</v>
      </c>
      <c r="N3" s="2"/>
    </row>
    <row r="4" spans="1:14" x14ac:dyDescent="0.35">
      <c r="A4" s="1" t="s">
        <v>2</v>
      </c>
      <c r="B4" s="8" t="s">
        <v>13</v>
      </c>
      <c r="C4" s="9" t="s">
        <v>15</v>
      </c>
      <c r="D4" s="10">
        <v>19152000</v>
      </c>
      <c r="E4" s="10">
        <v>30324000</v>
      </c>
      <c r="F4" s="10">
        <v>26040000</v>
      </c>
      <c r="G4" s="10">
        <v>32238000</v>
      </c>
      <c r="H4" s="10">
        <f t="shared" si="0"/>
        <v>21492000</v>
      </c>
      <c r="I4" s="10">
        <v>33852000</v>
      </c>
      <c r="J4" s="10">
        <f t="shared" si="1"/>
        <v>-12360000</v>
      </c>
      <c r="K4" s="11">
        <f t="shared" si="2"/>
        <v>0.63488124778447363</v>
      </c>
      <c r="L4" s="1" t="str">
        <f t="shared" ref="L4:L67" si="3">IF(AND(K4&gt;=50%)*M4&gt;0%,"Fast","Slow")</f>
        <v>Fast</v>
      </c>
      <c r="M4" s="11">
        <v>0.22669250942863664</v>
      </c>
      <c r="N4" s="2"/>
    </row>
    <row r="5" spans="1:14" x14ac:dyDescent="0.35">
      <c r="A5" s="1" t="s">
        <v>2</v>
      </c>
      <c r="B5" s="8" t="s">
        <v>13</v>
      </c>
      <c r="C5" s="9" t="s">
        <v>16</v>
      </c>
      <c r="D5" s="10">
        <v>0</v>
      </c>
      <c r="E5" s="10">
        <v>0</v>
      </c>
      <c r="F5" s="10">
        <v>0</v>
      </c>
      <c r="G5" s="10">
        <v>40368000</v>
      </c>
      <c r="H5" s="10">
        <f t="shared" si="0"/>
        <v>26912000</v>
      </c>
      <c r="I5" s="10">
        <v>40368000</v>
      </c>
      <c r="J5" s="10">
        <f t="shared" si="1"/>
        <v>-13456000</v>
      </c>
      <c r="K5" s="11">
        <f t="shared" si="2"/>
        <v>0.66666666666666663</v>
      </c>
      <c r="L5" s="1" t="str">
        <f t="shared" si="3"/>
        <v>Fast</v>
      </c>
      <c r="M5" s="11">
        <v>0.33333333333333331</v>
      </c>
      <c r="N5" s="2"/>
    </row>
    <row r="6" spans="1:14" x14ac:dyDescent="0.35">
      <c r="A6" s="1" t="s">
        <v>2</v>
      </c>
      <c r="B6" s="12" t="s">
        <v>13</v>
      </c>
      <c r="C6" s="13" t="s">
        <v>17</v>
      </c>
      <c r="D6" s="10">
        <v>4248000</v>
      </c>
      <c r="E6" s="10">
        <v>4248000</v>
      </c>
      <c r="F6" s="10">
        <v>4248000</v>
      </c>
      <c r="G6" s="10">
        <v>0</v>
      </c>
      <c r="H6" s="10">
        <f t="shared" si="0"/>
        <v>0</v>
      </c>
      <c r="I6" s="10">
        <v>5522400</v>
      </c>
      <c r="J6" s="10">
        <f t="shared" si="1"/>
        <v>-5522400</v>
      </c>
      <c r="K6" s="11">
        <f t="shared" si="2"/>
        <v>0</v>
      </c>
      <c r="L6" s="14" t="str">
        <f t="shared" si="3"/>
        <v>Slow</v>
      </c>
      <c r="M6" s="15">
        <v>-0.33333333333333331</v>
      </c>
      <c r="N6" s="2"/>
    </row>
    <row r="7" spans="1:14" x14ac:dyDescent="0.35">
      <c r="A7" s="1" t="s">
        <v>2</v>
      </c>
      <c r="B7" s="8" t="s">
        <v>13</v>
      </c>
      <c r="C7" s="9" t="s">
        <v>18</v>
      </c>
      <c r="D7" s="10">
        <v>0</v>
      </c>
      <c r="E7" s="10">
        <v>18540000</v>
      </c>
      <c r="F7" s="10">
        <f>119424000+3708000</f>
        <v>123132000</v>
      </c>
      <c r="G7" s="10">
        <v>143442000</v>
      </c>
      <c r="H7" s="10">
        <f t="shared" si="0"/>
        <v>95628000</v>
      </c>
      <c r="I7" s="10">
        <v>160071600</v>
      </c>
      <c r="J7" s="10">
        <f t="shared" si="1"/>
        <v>-64443600</v>
      </c>
      <c r="K7" s="11">
        <f t="shared" si="2"/>
        <v>0.59740766007211776</v>
      </c>
      <c r="L7" s="1" t="str">
        <f t="shared" si="3"/>
        <v>Fast</v>
      </c>
      <c r="M7" s="11">
        <v>1.9354562951202314</v>
      </c>
      <c r="N7" s="2"/>
    </row>
    <row r="8" spans="1:14" x14ac:dyDescent="0.35">
      <c r="A8" s="1" t="s">
        <v>2</v>
      </c>
      <c r="B8" s="12" t="s">
        <v>13</v>
      </c>
      <c r="C8" s="13" t="s">
        <v>19</v>
      </c>
      <c r="D8" s="10">
        <v>5940000</v>
      </c>
      <c r="E8" s="10">
        <v>9504000</v>
      </c>
      <c r="F8" s="10">
        <f>13200000+2376000</f>
        <v>15576000</v>
      </c>
      <c r="G8" s="10">
        <v>12006000</v>
      </c>
      <c r="H8" s="10">
        <f t="shared" si="0"/>
        <v>8004000</v>
      </c>
      <c r="I8" s="10">
        <v>20248800</v>
      </c>
      <c r="J8" s="10">
        <f t="shared" si="1"/>
        <v>-12244800</v>
      </c>
      <c r="K8" s="11">
        <f t="shared" si="2"/>
        <v>0.39528268341827666</v>
      </c>
      <c r="L8" s="14" t="str">
        <f t="shared" si="3"/>
        <v>Slow</v>
      </c>
      <c r="M8" s="11">
        <v>0.33656337385150947</v>
      </c>
      <c r="N8" s="2"/>
    </row>
    <row r="9" spans="1:14" x14ac:dyDescent="0.35">
      <c r="A9" s="1" t="s">
        <v>2</v>
      </c>
      <c r="B9" s="8" t="s">
        <v>13</v>
      </c>
      <c r="C9" s="9" t="s">
        <v>20</v>
      </c>
      <c r="D9" s="10">
        <v>15340000</v>
      </c>
      <c r="E9" s="10">
        <v>18408000</v>
      </c>
      <c r="F9" s="10">
        <v>7080000</v>
      </c>
      <c r="G9" s="10">
        <v>12078000</v>
      </c>
      <c r="H9" s="10">
        <f t="shared" si="0"/>
        <v>8052000</v>
      </c>
      <c r="I9" s="10">
        <v>12078000</v>
      </c>
      <c r="J9" s="10">
        <f t="shared" si="1"/>
        <v>-4026000</v>
      </c>
      <c r="K9" s="11">
        <f t="shared" si="2"/>
        <v>0.66666666666666663</v>
      </c>
      <c r="L9" s="1" t="str">
        <f t="shared" si="3"/>
        <v>Fast</v>
      </c>
      <c r="M9" s="11">
        <v>9.6849196001738358E-2</v>
      </c>
      <c r="N9" s="2"/>
    </row>
    <row r="10" spans="1:14" x14ac:dyDescent="0.35">
      <c r="A10" s="1" t="s">
        <v>2</v>
      </c>
      <c r="B10" s="12" t="s">
        <v>13</v>
      </c>
      <c r="C10" s="13" t="s">
        <v>21</v>
      </c>
      <c r="D10" s="10">
        <v>17136000</v>
      </c>
      <c r="E10" s="10">
        <v>0</v>
      </c>
      <c r="F10" s="10">
        <v>11424000</v>
      </c>
      <c r="G10" s="10">
        <v>9684000</v>
      </c>
      <c r="H10" s="10">
        <f t="shared" si="0"/>
        <v>6456000</v>
      </c>
      <c r="I10" s="10">
        <v>14851200</v>
      </c>
      <c r="J10" s="10">
        <f t="shared" si="1"/>
        <v>-8395200</v>
      </c>
      <c r="K10" s="11">
        <f t="shared" si="2"/>
        <v>0.43471234647705237</v>
      </c>
      <c r="L10" s="14" t="str">
        <f t="shared" si="3"/>
        <v>Slow</v>
      </c>
      <c r="M10" s="15">
        <v>-5.0770308123249307E-2</v>
      </c>
      <c r="N10" s="2"/>
    </row>
    <row r="11" spans="1:14" x14ac:dyDescent="0.35">
      <c r="A11" s="1" t="s">
        <v>2</v>
      </c>
      <c r="B11" s="12" t="s">
        <v>13</v>
      </c>
      <c r="C11" s="13" t="s">
        <v>22</v>
      </c>
      <c r="D11" s="10">
        <v>2028000</v>
      </c>
      <c r="E11" s="10">
        <v>0</v>
      </c>
      <c r="F11" s="10">
        <v>0</v>
      </c>
      <c r="G11" s="10">
        <v>0</v>
      </c>
      <c r="H11" s="10">
        <f t="shared" si="0"/>
        <v>0</v>
      </c>
      <c r="I11" s="10">
        <f>D11</f>
        <v>2028000</v>
      </c>
      <c r="J11" s="10">
        <f t="shared" si="1"/>
        <v>-2028000</v>
      </c>
      <c r="K11" s="11">
        <f t="shared" si="2"/>
        <v>0</v>
      </c>
      <c r="L11" s="14" t="str">
        <f t="shared" si="3"/>
        <v>Slow</v>
      </c>
      <c r="M11" s="15">
        <v>-0.33333333333333331</v>
      </c>
      <c r="N11" s="2"/>
    </row>
    <row r="12" spans="1:14" x14ac:dyDescent="0.35">
      <c r="A12" s="1" t="s">
        <v>2</v>
      </c>
      <c r="B12" s="8" t="s">
        <v>13</v>
      </c>
      <c r="C12" s="9" t="s">
        <v>23</v>
      </c>
      <c r="D12" s="10">
        <v>20160000</v>
      </c>
      <c r="E12" s="10">
        <v>46368000</v>
      </c>
      <c r="F12" s="10">
        <f>34488000+4032000</f>
        <v>38520000</v>
      </c>
      <c r="G12" s="10">
        <v>50508000</v>
      </c>
      <c r="H12" s="10">
        <f t="shared" si="0"/>
        <v>33672000</v>
      </c>
      <c r="I12" s="10">
        <v>50508000</v>
      </c>
      <c r="J12" s="10">
        <f t="shared" si="1"/>
        <v>-16836000</v>
      </c>
      <c r="K12" s="11">
        <f t="shared" si="2"/>
        <v>0.66666666666666663</v>
      </c>
      <c r="L12" s="1" t="str">
        <f t="shared" si="3"/>
        <v>Fast</v>
      </c>
      <c r="M12" s="11">
        <v>0.48065343162864488</v>
      </c>
      <c r="N12" s="2"/>
    </row>
    <row r="13" spans="1:14" x14ac:dyDescent="0.35">
      <c r="A13" s="1" t="s">
        <v>2</v>
      </c>
      <c r="B13" s="8" t="s">
        <v>13</v>
      </c>
      <c r="C13" s="9" t="s">
        <v>24</v>
      </c>
      <c r="D13" s="10">
        <v>0</v>
      </c>
      <c r="E13" s="10">
        <v>0</v>
      </c>
      <c r="F13" s="10">
        <v>4032000</v>
      </c>
      <c r="G13" s="10">
        <v>13392000</v>
      </c>
      <c r="H13" s="10">
        <f t="shared" si="0"/>
        <v>8928000</v>
      </c>
      <c r="I13" s="10">
        <v>13392000</v>
      </c>
      <c r="J13" s="10">
        <f t="shared" si="1"/>
        <v>-4464000</v>
      </c>
      <c r="K13" s="11">
        <f t="shared" si="2"/>
        <v>0.66666666666666663</v>
      </c>
      <c r="L13" s="1" t="str">
        <f t="shared" si="3"/>
        <v>Fast</v>
      </c>
      <c r="M13" s="11">
        <v>1.1071428571428572</v>
      </c>
    </row>
    <row r="14" spans="1:14" x14ac:dyDescent="0.35">
      <c r="A14" s="1" t="s">
        <v>2</v>
      </c>
      <c r="B14" s="8" t="s">
        <v>13</v>
      </c>
      <c r="C14" s="9" t="s">
        <v>25</v>
      </c>
      <c r="D14" s="10">
        <v>32256000</v>
      </c>
      <c r="E14" s="10">
        <v>33768000</v>
      </c>
      <c r="F14" s="10">
        <v>64488000</v>
      </c>
      <c r="G14" s="10">
        <v>97452000</v>
      </c>
      <c r="H14" s="10">
        <f t="shared" si="0"/>
        <v>64968000</v>
      </c>
      <c r="I14" s="10">
        <v>97452000</v>
      </c>
      <c r="J14" s="10">
        <f t="shared" si="1"/>
        <v>-32484000</v>
      </c>
      <c r="K14" s="11">
        <f t="shared" si="2"/>
        <v>0.66666666666666663</v>
      </c>
      <c r="L14" s="1" t="str">
        <f t="shared" si="3"/>
        <v>Fast</v>
      </c>
      <c r="M14" s="11">
        <v>0.48925896567413701</v>
      </c>
    </row>
    <row r="15" spans="1:14" x14ac:dyDescent="0.35">
      <c r="A15" s="1" t="s">
        <v>2</v>
      </c>
      <c r="B15" s="8" t="s">
        <v>13</v>
      </c>
      <c r="C15" s="9" t="s">
        <v>26</v>
      </c>
      <c r="D15" s="10">
        <v>0</v>
      </c>
      <c r="E15" s="10">
        <v>0</v>
      </c>
      <c r="F15" s="10">
        <v>20592000</v>
      </c>
      <c r="G15" s="10">
        <v>40176000</v>
      </c>
      <c r="H15" s="10">
        <f t="shared" si="0"/>
        <v>26784000</v>
      </c>
      <c r="I15" s="10">
        <v>40176000</v>
      </c>
      <c r="J15" s="10">
        <f t="shared" si="1"/>
        <v>-13392000</v>
      </c>
      <c r="K15" s="11">
        <f t="shared" si="2"/>
        <v>0.66666666666666663</v>
      </c>
      <c r="L15" s="1" t="str">
        <f t="shared" si="3"/>
        <v>Fast</v>
      </c>
      <c r="M15" s="11">
        <v>0.65034965034965031</v>
      </c>
    </row>
    <row r="16" spans="1:14" x14ac:dyDescent="0.35">
      <c r="A16" s="1" t="s">
        <v>2</v>
      </c>
      <c r="B16" s="12" t="s">
        <v>13</v>
      </c>
      <c r="C16" s="13" t="s">
        <v>27</v>
      </c>
      <c r="D16" s="10">
        <v>46440000</v>
      </c>
      <c r="E16" s="10">
        <v>30960000</v>
      </c>
      <c r="F16" s="10">
        <f>28932000+2580000</f>
        <v>31512000</v>
      </c>
      <c r="G16" s="10">
        <v>25938000</v>
      </c>
      <c r="H16" s="10">
        <f t="shared" si="0"/>
        <v>17292000</v>
      </c>
      <c r="I16" s="10">
        <v>40965600</v>
      </c>
      <c r="J16" s="10">
        <f t="shared" si="1"/>
        <v>-23673600</v>
      </c>
      <c r="K16" s="11">
        <f t="shared" si="2"/>
        <v>0.42211025836311444</v>
      </c>
      <c r="L16" s="14" t="str">
        <f t="shared" si="3"/>
        <v>Slow</v>
      </c>
      <c r="M16" s="15">
        <v>-0.16412962405363971</v>
      </c>
    </row>
    <row r="17" spans="1:13" x14ac:dyDescent="0.35">
      <c r="A17" s="1" t="s">
        <v>2</v>
      </c>
      <c r="B17" s="8" t="s">
        <v>13</v>
      </c>
      <c r="C17" s="9" t="s">
        <v>28</v>
      </c>
      <c r="D17" s="10">
        <v>212850000</v>
      </c>
      <c r="E17" s="10">
        <v>283800000</v>
      </c>
      <c r="F17" s="10">
        <f>186864000+5160000</f>
        <v>192024000</v>
      </c>
      <c r="G17" s="10">
        <v>261486000</v>
      </c>
      <c r="H17" s="10">
        <f t="shared" si="0"/>
        <v>174324000</v>
      </c>
      <c r="I17" s="10">
        <v>261486000</v>
      </c>
      <c r="J17" s="10">
        <f t="shared" si="1"/>
        <v>-87162000</v>
      </c>
      <c r="K17" s="11">
        <f t="shared" si="2"/>
        <v>0.66666666666666663</v>
      </c>
      <c r="L17" s="1" t="str">
        <f t="shared" si="3"/>
        <v>Fast</v>
      </c>
      <c r="M17" s="11">
        <v>0.12389556749380952</v>
      </c>
    </row>
    <row r="18" spans="1:13" x14ac:dyDescent="0.35">
      <c r="A18" s="1" t="s">
        <v>2</v>
      </c>
      <c r="B18" s="8" t="s">
        <v>13</v>
      </c>
      <c r="C18" s="9" t="s">
        <v>29</v>
      </c>
      <c r="D18" s="10">
        <v>15264000</v>
      </c>
      <c r="E18" s="10">
        <v>30051000</v>
      </c>
      <c r="F18" s="10">
        <v>52128000</v>
      </c>
      <c r="G18" s="10">
        <v>98052000</v>
      </c>
      <c r="H18" s="10">
        <f t="shared" si="0"/>
        <v>65368000</v>
      </c>
      <c r="I18" s="10">
        <v>98052000</v>
      </c>
      <c r="J18" s="10">
        <f t="shared" si="1"/>
        <v>-32684000</v>
      </c>
      <c r="K18" s="11">
        <f t="shared" si="2"/>
        <v>0.66666666666666663</v>
      </c>
      <c r="L18" s="1" t="str">
        <f t="shared" si="3"/>
        <v>Fast</v>
      </c>
      <c r="M18" s="11">
        <v>0.86146212005888323</v>
      </c>
    </row>
    <row r="19" spans="1:13" x14ac:dyDescent="0.35">
      <c r="A19" s="1" t="s">
        <v>2</v>
      </c>
      <c r="B19" s="8" t="s">
        <v>13</v>
      </c>
      <c r="C19" s="9" t="s">
        <v>30</v>
      </c>
      <c r="D19" s="10">
        <v>167796000</v>
      </c>
      <c r="E19" s="10">
        <v>443128000</v>
      </c>
      <c r="F19" s="10">
        <f>333660000+18528000</f>
        <v>352188000</v>
      </c>
      <c r="G19" s="10">
        <v>527580000</v>
      </c>
      <c r="H19" s="10">
        <f t="shared" si="0"/>
        <v>351720000</v>
      </c>
      <c r="I19" s="10">
        <v>527580000</v>
      </c>
      <c r="J19" s="10">
        <f t="shared" si="1"/>
        <v>-175860000</v>
      </c>
      <c r="K19" s="11">
        <f t="shared" si="2"/>
        <v>0.66666666666666663</v>
      </c>
      <c r="L19" s="1" t="str">
        <f t="shared" si="3"/>
        <v>Fast</v>
      </c>
      <c r="M19" s="11">
        <v>0.64455243927181383</v>
      </c>
    </row>
    <row r="20" spans="1:13" x14ac:dyDescent="0.35">
      <c r="A20" s="1" t="s">
        <v>2</v>
      </c>
      <c r="B20" s="8" t="s">
        <v>13</v>
      </c>
      <c r="C20" s="9" t="s">
        <v>31</v>
      </c>
      <c r="D20" s="10">
        <v>181810200</v>
      </c>
      <c r="E20" s="10">
        <v>360680000</v>
      </c>
      <c r="F20" s="10">
        <f>383880000+9144000</f>
        <v>393024000</v>
      </c>
      <c r="G20" s="10">
        <v>454942500</v>
      </c>
      <c r="H20" s="10">
        <f t="shared" si="0"/>
        <v>303295000</v>
      </c>
      <c r="I20" s="10">
        <v>510931200</v>
      </c>
      <c r="J20" s="10">
        <f t="shared" si="1"/>
        <v>-207636200</v>
      </c>
      <c r="K20" s="11">
        <f t="shared" si="2"/>
        <v>0.59361221236831885</v>
      </c>
      <c r="L20" s="1" t="str">
        <f t="shared" si="3"/>
        <v>Fast</v>
      </c>
      <c r="M20" s="11">
        <v>0.41034865411694299</v>
      </c>
    </row>
    <row r="21" spans="1:13" x14ac:dyDescent="0.35">
      <c r="A21" s="1" t="s">
        <v>2</v>
      </c>
      <c r="B21" s="8" t="s">
        <v>13</v>
      </c>
      <c r="C21" s="9" t="s">
        <v>32</v>
      </c>
      <c r="D21" s="10">
        <v>32424000</v>
      </c>
      <c r="E21" s="10">
        <v>25476000</v>
      </c>
      <c r="F21" s="10">
        <v>25728000</v>
      </c>
      <c r="G21" s="10">
        <v>74052000</v>
      </c>
      <c r="H21" s="10">
        <f t="shared" si="0"/>
        <v>49368000</v>
      </c>
      <c r="I21" s="10">
        <v>74052000</v>
      </c>
      <c r="J21" s="10">
        <f t="shared" si="1"/>
        <v>-24684000</v>
      </c>
      <c r="K21" s="11">
        <f t="shared" si="2"/>
        <v>0.66666666666666663</v>
      </c>
      <c r="L21" s="1" t="str">
        <f t="shared" si="3"/>
        <v>Fast</v>
      </c>
      <c r="M21" s="11">
        <v>0.5579569579429412</v>
      </c>
    </row>
    <row r="22" spans="1:13" x14ac:dyDescent="0.35">
      <c r="A22" s="1" t="s">
        <v>2</v>
      </c>
      <c r="B22" s="8" t="s">
        <v>13</v>
      </c>
      <c r="C22" s="9" t="s">
        <v>33</v>
      </c>
      <c r="D22" s="10">
        <v>61128000</v>
      </c>
      <c r="E22" s="10">
        <v>110532000</v>
      </c>
      <c r="F22" s="10">
        <f>64188000+1812000</f>
        <v>66000000</v>
      </c>
      <c r="G22" s="10">
        <v>141876000</v>
      </c>
      <c r="H22" s="10">
        <f t="shared" si="0"/>
        <v>94584000</v>
      </c>
      <c r="I22" s="10">
        <v>141876000</v>
      </c>
      <c r="J22" s="10">
        <f t="shared" si="1"/>
        <v>-47292000</v>
      </c>
      <c r="K22" s="11">
        <f t="shared" si="2"/>
        <v>0.66666666666666663</v>
      </c>
      <c r="L22" s="1" t="str">
        <f t="shared" si="3"/>
        <v>Fast</v>
      </c>
      <c r="M22" s="11">
        <v>0.51831808146281366</v>
      </c>
    </row>
    <row r="23" spans="1:13" x14ac:dyDescent="0.35">
      <c r="A23" s="1" t="s">
        <v>2</v>
      </c>
      <c r="B23" s="8" t="s">
        <v>13</v>
      </c>
      <c r="C23" s="9" t="s">
        <v>34</v>
      </c>
      <c r="D23" s="10">
        <v>3624000</v>
      </c>
      <c r="E23" s="10">
        <v>5436000</v>
      </c>
      <c r="F23" s="10">
        <v>11064000</v>
      </c>
      <c r="G23" s="10">
        <v>15084000</v>
      </c>
      <c r="H23" s="10">
        <f t="shared" si="0"/>
        <v>10056000</v>
      </c>
      <c r="I23" s="10">
        <v>15084000</v>
      </c>
      <c r="J23" s="10">
        <f t="shared" si="1"/>
        <v>-5028000</v>
      </c>
      <c r="K23" s="11">
        <f t="shared" si="2"/>
        <v>0.66666666666666663</v>
      </c>
      <c r="L23" s="1" t="str">
        <f t="shared" si="3"/>
        <v>Fast</v>
      </c>
      <c r="M23" s="11">
        <v>0.63288688409718141</v>
      </c>
    </row>
    <row r="24" spans="1:13" x14ac:dyDescent="0.35">
      <c r="A24" s="1" t="s">
        <v>2</v>
      </c>
      <c r="B24" s="12" t="s">
        <v>13</v>
      </c>
      <c r="C24" s="13" t="s">
        <v>35</v>
      </c>
      <c r="D24" s="10">
        <v>58988400</v>
      </c>
      <c r="E24" s="10">
        <v>83448000</v>
      </c>
      <c r="F24" s="10">
        <v>73608000</v>
      </c>
      <c r="G24" s="10">
        <v>69732000</v>
      </c>
      <c r="H24" s="10">
        <f t="shared" si="0"/>
        <v>46488000</v>
      </c>
      <c r="I24" s="10">
        <v>95690400</v>
      </c>
      <c r="J24" s="10">
        <f t="shared" si="1"/>
        <v>-49202400</v>
      </c>
      <c r="K24" s="11">
        <f t="shared" si="2"/>
        <v>0.48581675904792959</v>
      </c>
      <c r="L24" s="14" t="str">
        <f t="shared" si="3"/>
        <v>Slow</v>
      </c>
      <c r="M24" s="11">
        <v>8.1358650364273075E-2</v>
      </c>
    </row>
    <row r="25" spans="1:13" x14ac:dyDescent="0.35">
      <c r="A25" s="1" t="s">
        <v>2</v>
      </c>
      <c r="B25" s="8" t="s">
        <v>13</v>
      </c>
      <c r="C25" s="9" t="s">
        <v>36</v>
      </c>
      <c r="D25" s="10">
        <v>96266000</v>
      </c>
      <c r="E25" s="10">
        <v>153670000</v>
      </c>
      <c r="F25" s="10">
        <f>58224000+6096000</f>
        <v>64320000</v>
      </c>
      <c r="G25" s="10">
        <v>75600000</v>
      </c>
      <c r="H25" s="10">
        <f t="shared" si="0"/>
        <v>50400000</v>
      </c>
      <c r="I25" s="10">
        <v>83616000</v>
      </c>
      <c r="J25" s="10">
        <f t="shared" si="1"/>
        <v>-33216000</v>
      </c>
      <c r="K25" s="11">
        <f t="shared" si="2"/>
        <v>0.6027554535017221</v>
      </c>
      <c r="L25" s="1" t="str">
        <f t="shared" si="3"/>
        <v>Fast</v>
      </c>
      <c r="M25" s="11">
        <v>6.3412817757194137E-2</v>
      </c>
    </row>
    <row r="26" spans="1:13" x14ac:dyDescent="0.35">
      <c r="A26" s="1" t="s">
        <v>2</v>
      </c>
      <c r="B26" s="12" t="s">
        <v>37</v>
      </c>
      <c r="C26" s="13" t="s">
        <v>38</v>
      </c>
      <c r="D26" s="10">
        <v>586800</v>
      </c>
      <c r="E26" s="10">
        <v>0</v>
      </c>
      <c r="F26" s="10">
        <v>0</v>
      </c>
      <c r="G26" s="10">
        <v>0</v>
      </c>
      <c r="H26" s="10">
        <f t="shared" si="0"/>
        <v>0</v>
      </c>
      <c r="I26" s="10">
        <f>D26</f>
        <v>586800</v>
      </c>
      <c r="J26" s="10">
        <f t="shared" si="1"/>
        <v>-586800</v>
      </c>
      <c r="K26" s="11">
        <f t="shared" si="2"/>
        <v>0</v>
      </c>
      <c r="L26" s="14" t="str">
        <f t="shared" si="3"/>
        <v>Slow</v>
      </c>
      <c r="M26" s="15">
        <v>-0.33333333333333331</v>
      </c>
    </row>
    <row r="27" spans="1:13" x14ac:dyDescent="0.35">
      <c r="A27" s="1" t="s">
        <v>2</v>
      </c>
      <c r="B27" s="12" t="s">
        <v>37</v>
      </c>
      <c r="C27" s="13" t="s">
        <v>39</v>
      </c>
      <c r="D27" s="10">
        <v>1173600</v>
      </c>
      <c r="E27" s="10">
        <v>0</v>
      </c>
      <c r="F27" s="10">
        <v>0</v>
      </c>
      <c r="G27" s="10">
        <v>0</v>
      </c>
      <c r="H27" s="10">
        <f t="shared" si="0"/>
        <v>0</v>
      </c>
      <c r="I27" s="10">
        <f>D27</f>
        <v>1173600</v>
      </c>
      <c r="J27" s="10">
        <f t="shared" si="1"/>
        <v>-1173600</v>
      </c>
      <c r="K27" s="11">
        <f t="shared" si="2"/>
        <v>0</v>
      </c>
      <c r="L27" s="14" t="str">
        <f t="shared" si="3"/>
        <v>Slow</v>
      </c>
      <c r="M27" s="15">
        <v>-0.33333333333333331</v>
      </c>
    </row>
    <row r="28" spans="1:13" x14ac:dyDescent="0.35">
      <c r="A28" s="1" t="s">
        <v>2</v>
      </c>
      <c r="B28" s="8" t="s">
        <v>37</v>
      </c>
      <c r="C28" s="9" t="s">
        <v>40</v>
      </c>
      <c r="D28" s="10">
        <v>0</v>
      </c>
      <c r="E28" s="10">
        <v>586800</v>
      </c>
      <c r="F28" s="10">
        <v>8215200</v>
      </c>
      <c r="G28" s="10">
        <v>10562400</v>
      </c>
      <c r="H28" s="10">
        <f t="shared" si="0"/>
        <v>7041600</v>
      </c>
      <c r="I28" s="10">
        <v>10679760</v>
      </c>
      <c r="J28" s="10">
        <f t="shared" si="1"/>
        <v>-3638160</v>
      </c>
      <c r="K28" s="11">
        <f t="shared" si="2"/>
        <v>0.65934065934065933</v>
      </c>
      <c r="L28" s="1" t="str">
        <f t="shared" si="3"/>
        <v>Fast</v>
      </c>
      <c r="M28" s="11">
        <v>4.7619047619047619</v>
      </c>
    </row>
    <row r="29" spans="1:13" x14ac:dyDescent="0.35">
      <c r="A29" s="1" t="s">
        <v>2</v>
      </c>
      <c r="B29" s="8" t="s">
        <v>37</v>
      </c>
      <c r="C29" s="9" t="s">
        <v>41</v>
      </c>
      <c r="D29" s="10">
        <v>0</v>
      </c>
      <c r="E29" s="10">
        <v>4214100</v>
      </c>
      <c r="F29" s="10">
        <v>4597200</v>
      </c>
      <c r="G29" s="10">
        <v>6895800</v>
      </c>
      <c r="H29" s="10">
        <f t="shared" si="0"/>
        <v>4597200</v>
      </c>
      <c r="I29" s="10">
        <v>6895800</v>
      </c>
      <c r="J29" s="10">
        <f t="shared" si="1"/>
        <v>-2298600</v>
      </c>
      <c r="K29" s="11">
        <f t="shared" si="2"/>
        <v>0.66666666666666663</v>
      </c>
      <c r="L29" s="1" t="str">
        <f t="shared" si="3"/>
        <v>Fast</v>
      </c>
      <c r="M29" s="11">
        <v>0.53030303030303028</v>
      </c>
    </row>
    <row r="30" spans="1:13" x14ac:dyDescent="0.35">
      <c r="A30" s="1" t="s">
        <v>2</v>
      </c>
      <c r="B30" s="8" t="s">
        <v>37</v>
      </c>
      <c r="C30" s="9" t="s">
        <v>42</v>
      </c>
      <c r="D30" s="10">
        <v>0</v>
      </c>
      <c r="E30" s="10">
        <v>586800</v>
      </c>
      <c r="F30" s="10">
        <v>1173600</v>
      </c>
      <c r="G30" s="10">
        <v>1760400</v>
      </c>
      <c r="H30" s="10">
        <f t="shared" si="0"/>
        <v>1173600</v>
      </c>
      <c r="I30" s="10">
        <v>1760400</v>
      </c>
      <c r="J30" s="10">
        <f t="shared" si="1"/>
        <v>-586800</v>
      </c>
      <c r="K30" s="11">
        <f t="shared" si="2"/>
        <v>0.66666666666666663</v>
      </c>
      <c r="L30" s="1" t="str">
        <f t="shared" si="3"/>
        <v>Fast</v>
      </c>
      <c r="M30" s="11">
        <v>0.83333333333333337</v>
      </c>
    </row>
    <row r="31" spans="1:13" x14ac:dyDescent="0.35">
      <c r="A31" s="1" t="s">
        <v>2</v>
      </c>
      <c r="B31" s="12" t="s">
        <v>37</v>
      </c>
      <c r="C31" s="13" t="s">
        <v>43</v>
      </c>
      <c r="D31" s="10">
        <v>0</v>
      </c>
      <c r="E31" s="10">
        <v>3064800</v>
      </c>
      <c r="F31" s="10">
        <v>4597200</v>
      </c>
      <c r="G31" s="10">
        <v>1149300</v>
      </c>
      <c r="H31" s="10">
        <f t="shared" si="0"/>
        <v>766200</v>
      </c>
      <c r="I31" s="10">
        <v>5976360</v>
      </c>
      <c r="J31" s="10">
        <f t="shared" si="1"/>
        <v>-5210160</v>
      </c>
      <c r="K31" s="11">
        <f t="shared" si="2"/>
        <v>0.12820512820512819</v>
      </c>
      <c r="L31" s="14" t="str">
        <f t="shared" si="3"/>
        <v>Slow</v>
      </c>
      <c r="M31" s="11">
        <v>0.25</v>
      </c>
    </row>
    <row r="32" spans="1:13" x14ac:dyDescent="0.35">
      <c r="A32" s="1" t="s">
        <v>2</v>
      </c>
      <c r="B32" s="12" t="s">
        <v>37</v>
      </c>
      <c r="C32" s="13" t="s">
        <v>44</v>
      </c>
      <c r="D32" s="10">
        <v>0</v>
      </c>
      <c r="E32" s="10">
        <v>766200</v>
      </c>
      <c r="F32" s="10">
        <v>766200</v>
      </c>
      <c r="G32" s="10">
        <v>0</v>
      </c>
      <c r="H32" s="10">
        <f t="shared" si="0"/>
        <v>0</v>
      </c>
      <c r="I32" s="10">
        <v>996060</v>
      </c>
      <c r="J32" s="10">
        <f t="shared" si="1"/>
        <v>-996060</v>
      </c>
      <c r="K32" s="11">
        <f t="shared" si="2"/>
        <v>0</v>
      </c>
      <c r="L32" s="14" t="str">
        <f t="shared" si="3"/>
        <v>Slow</v>
      </c>
      <c r="M32" s="11">
        <v>0</v>
      </c>
    </row>
    <row r="33" spans="1:13" x14ac:dyDescent="0.35">
      <c r="A33" s="1" t="s">
        <v>2</v>
      </c>
      <c r="B33" s="8" t="s">
        <v>37</v>
      </c>
      <c r="C33" s="9" t="s">
        <v>45</v>
      </c>
      <c r="D33" s="10">
        <v>0</v>
      </c>
      <c r="E33" s="10">
        <v>586800</v>
      </c>
      <c r="F33" s="10">
        <f>8802000+586800</f>
        <v>9388800</v>
      </c>
      <c r="G33" s="10">
        <v>20244600</v>
      </c>
      <c r="H33" s="10">
        <f t="shared" si="0"/>
        <v>13496400</v>
      </c>
      <c r="I33" s="10">
        <v>20244600</v>
      </c>
      <c r="J33" s="10">
        <f t="shared" si="1"/>
        <v>-6748200</v>
      </c>
      <c r="K33" s="11">
        <f t="shared" si="2"/>
        <v>0.66666666666666663</v>
      </c>
      <c r="L33" s="1" t="str">
        <f t="shared" si="3"/>
        <v>Fast</v>
      </c>
      <c r="M33" s="11">
        <v>5.71875</v>
      </c>
    </row>
    <row r="34" spans="1:13" x14ac:dyDescent="0.35">
      <c r="A34" s="1" t="s">
        <v>2</v>
      </c>
      <c r="B34" s="12" t="s">
        <v>37</v>
      </c>
      <c r="C34" s="13" t="s">
        <v>46</v>
      </c>
      <c r="D34" s="10">
        <v>1173600</v>
      </c>
      <c r="E34" s="10">
        <v>586800</v>
      </c>
      <c r="F34" s="10">
        <v>0</v>
      </c>
      <c r="G34" s="10">
        <v>0</v>
      </c>
      <c r="H34" s="10">
        <f t="shared" si="0"/>
        <v>0</v>
      </c>
      <c r="I34" s="10">
        <f>D34</f>
        <v>1173600</v>
      </c>
      <c r="J34" s="10">
        <f t="shared" si="1"/>
        <v>-1173600</v>
      </c>
      <c r="K34" s="11">
        <f t="shared" si="2"/>
        <v>0</v>
      </c>
      <c r="L34" s="14" t="str">
        <f t="shared" si="3"/>
        <v>Slow</v>
      </c>
      <c r="M34" s="15">
        <v>-0.5</v>
      </c>
    </row>
    <row r="35" spans="1:13" x14ac:dyDescent="0.35">
      <c r="A35" s="1" t="s">
        <v>2</v>
      </c>
      <c r="B35" s="12" t="s">
        <v>37</v>
      </c>
      <c r="C35" s="13" t="s">
        <v>47</v>
      </c>
      <c r="D35" s="10">
        <v>586800</v>
      </c>
      <c r="E35" s="10">
        <v>1760400</v>
      </c>
      <c r="F35" s="10">
        <v>0</v>
      </c>
      <c r="G35" s="10">
        <v>0</v>
      </c>
      <c r="H35" s="10">
        <f t="shared" si="0"/>
        <v>0</v>
      </c>
      <c r="I35" s="10">
        <f>D35</f>
        <v>586800</v>
      </c>
      <c r="J35" s="10">
        <f t="shared" si="1"/>
        <v>-586800</v>
      </c>
      <c r="K35" s="11">
        <f t="shared" ref="K35:K71" si="4">H35/I35</f>
        <v>0</v>
      </c>
      <c r="L35" s="14" t="str">
        <f t="shared" si="3"/>
        <v>Slow</v>
      </c>
      <c r="M35" s="11">
        <v>0.33333333333333331</v>
      </c>
    </row>
    <row r="36" spans="1:13" x14ac:dyDescent="0.35">
      <c r="A36" s="1" t="s">
        <v>2</v>
      </c>
      <c r="B36" s="12" t="s">
        <v>37</v>
      </c>
      <c r="C36" s="13" t="s">
        <v>48</v>
      </c>
      <c r="D36" s="10">
        <v>0</v>
      </c>
      <c r="E36" s="10">
        <v>2347200</v>
      </c>
      <c r="F36" s="10">
        <v>5281200</v>
      </c>
      <c r="G36" s="10">
        <v>0</v>
      </c>
      <c r="H36" s="10">
        <f t="shared" si="0"/>
        <v>0</v>
      </c>
      <c r="I36" s="10">
        <v>6865560</v>
      </c>
      <c r="J36" s="10">
        <f t="shared" si="1"/>
        <v>-6865560</v>
      </c>
      <c r="K36" s="11">
        <f t="shared" si="4"/>
        <v>0</v>
      </c>
      <c r="L36" s="14" t="str">
        <f t="shared" si="3"/>
        <v>Slow</v>
      </c>
      <c r="M36" s="11">
        <v>0.41666666666666669</v>
      </c>
    </row>
    <row r="37" spans="1:13" x14ac:dyDescent="0.35">
      <c r="A37" s="1" t="s">
        <v>2</v>
      </c>
      <c r="B37" s="12" t="s">
        <v>49</v>
      </c>
      <c r="C37" s="13" t="s">
        <v>50</v>
      </c>
      <c r="D37" s="10">
        <v>43510800</v>
      </c>
      <c r="E37" s="10">
        <v>92786400</v>
      </c>
      <c r="F37" s="10">
        <v>45440400</v>
      </c>
      <c r="G37" s="10">
        <v>35902800</v>
      </c>
      <c r="H37" s="10">
        <f t="shared" si="0"/>
        <v>23935200</v>
      </c>
      <c r="I37" s="10">
        <v>59072520</v>
      </c>
      <c r="J37" s="10">
        <f t="shared" si="1"/>
        <v>-35137320</v>
      </c>
      <c r="K37" s="11">
        <f t="shared" si="4"/>
        <v>0.40518332381960342</v>
      </c>
      <c r="L37" s="14" t="str">
        <f t="shared" si="3"/>
        <v>Slow</v>
      </c>
      <c r="M37" s="11">
        <v>0.13744332623992286</v>
      </c>
    </row>
    <row r="38" spans="1:13" x14ac:dyDescent="0.35">
      <c r="A38" s="1" t="s">
        <v>2</v>
      </c>
      <c r="B38" s="12" t="s">
        <v>49</v>
      </c>
      <c r="C38" s="13" t="s">
        <v>51</v>
      </c>
      <c r="D38" s="10">
        <v>0</v>
      </c>
      <c r="E38" s="10">
        <v>9140800</v>
      </c>
      <c r="F38" s="10">
        <v>0</v>
      </c>
      <c r="G38" s="10">
        <v>0</v>
      </c>
      <c r="H38" s="10">
        <f t="shared" si="0"/>
        <v>0</v>
      </c>
      <c r="I38" s="10">
        <f>E38</f>
        <v>9140800</v>
      </c>
      <c r="J38" s="10">
        <f t="shared" si="1"/>
        <v>-9140800</v>
      </c>
      <c r="K38" s="11">
        <f t="shared" si="4"/>
        <v>0</v>
      </c>
      <c r="L38" s="14" t="str">
        <f t="shared" si="3"/>
        <v>Slow</v>
      </c>
      <c r="M38" s="11">
        <v>0</v>
      </c>
    </row>
    <row r="39" spans="1:13" x14ac:dyDescent="0.35">
      <c r="A39" s="1" t="s">
        <v>2</v>
      </c>
      <c r="B39" s="12" t="s">
        <v>49</v>
      </c>
      <c r="C39" s="13" t="s">
        <v>52</v>
      </c>
      <c r="D39" s="10">
        <v>32424000</v>
      </c>
      <c r="E39" s="10">
        <v>121666600</v>
      </c>
      <c r="F39" s="10">
        <v>73160400</v>
      </c>
      <c r="G39" s="10">
        <v>38455200</v>
      </c>
      <c r="H39" s="10">
        <f t="shared" si="0"/>
        <v>25636800</v>
      </c>
      <c r="I39" s="10">
        <v>95108520</v>
      </c>
      <c r="J39" s="10">
        <f t="shared" si="1"/>
        <v>-69471720</v>
      </c>
      <c r="K39" s="11">
        <f t="shared" si="4"/>
        <v>0.26955313782613799</v>
      </c>
      <c r="L39" s="14" t="str">
        <f t="shared" si="3"/>
        <v>Slow</v>
      </c>
      <c r="M39" s="11">
        <v>0.62643658399491498</v>
      </c>
    </row>
    <row r="40" spans="1:13" x14ac:dyDescent="0.35">
      <c r="A40" s="1" t="s">
        <v>2</v>
      </c>
      <c r="B40" s="8" t="s">
        <v>49</v>
      </c>
      <c r="C40" s="9" t="s">
        <v>53</v>
      </c>
      <c r="D40" s="10"/>
      <c r="E40" s="10">
        <v>6973200</v>
      </c>
      <c r="F40" s="10">
        <v>2324400</v>
      </c>
      <c r="G40" s="10">
        <v>7675200</v>
      </c>
      <c r="H40" s="10">
        <f t="shared" si="0"/>
        <v>5116800</v>
      </c>
      <c r="I40" s="10">
        <v>7675200</v>
      </c>
      <c r="J40" s="10">
        <f t="shared" si="1"/>
        <v>-2558400</v>
      </c>
      <c r="K40" s="11">
        <f t="shared" si="4"/>
        <v>0.66666666666666663</v>
      </c>
      <c r="L40" s="1" t="str">
        <f t="shared" si="3"/>
        <v>Fast</v>
      </c>
      <c r="M40" s="11">
        <v>0.87844891871737507</v>
      </c>
    </row>
    <row r="41" spans="1:13" x14ac:dyDescent="0.35">
      <c r="A41" s="1" t="s">
        <v>2</v>
      </c>
      <c r="B41" s="12" t="s">
        <v>49</v>
      </c>
      <c r="C41" s="13" t="s">
        <v>54</v>
      </c>
      <c r="D41" s="10">
        <v>12969600</v>
      </c>
      <c r="E41" s="10">
        <v>131559700</v>
      </c>
      <c r="F41" s="10">
        <v>71376000</v>
      </c>
      <c r="G41" s="10">
        <v>29615400</v>
      </c>
      <c r="H41" s="10">
        <f t="shared" si="0"/>
        <v>19743600</v>
      </c>
      <c r="I41" s="10">
        <v>92788800</v>
      </c>
      <c r="J41" s="10">
        <f t="shared" si="1"/>
        <v>-73045200</v>
      </c>
      <c r="K41" s="11">
        <f t="shared" si="4"/>
        <v>0.21277999068853137</v>
      </c>
      <c r="L41" s="14" t="str">
        <f t="shared" si="3"/>
        <v>Slow</v>
      </c>
      <c r="M41" s="11">
        <v>2.7003851712836457</v>
      </c>
    </row>
    <row r="42" spans="1:13" x14ac:dyDescent="0.35">
      <c r="A42" s="1" t="s">
        <v>2</v>
      </c>
      <c r="B42" s="8" t="s">
        <v>49</v>
      </c>
      <c r="C42" s="9" t="s">
        <v>55</v>
      </c>
      <c r="D42" s="10">
        <v>75762000</v>
      </c>
      <c r="E42" s="10">
        <v>139341000</v>
      </c>
      <c r="F42" s="10">
        <f>156448000+8922000</f>
        <v>165370000</v>
      </c>
      <c r="G42" s="10">
        <v>169300800</v>
      </c>
      <c r="H42" s="10">
        <f t="shared" si="0"/>
        <v>112867200</v>
      </c>
      <c r="I42" s="10">
        <v>214981000</v>
      </c>
      <c r="J42" s="10">
        <f t="shared" si="1"/>
        <v>-102113800</v>
      </c>
      <c r="K42" s="11">
        <f t="shared" si="4"/>
        <v>0.5250101171731455</v>
      </c>
      <c r="L42" s="1" t="str">
        <f t="shared" si="3"/>
        <v>Fast</v>
      </c>
      <c r="M42" s="11">
        <v>0.34992141528202048</v>
      </c>
    </row>
    <row r="43" spans="1:13" x14ac:dyDescent="0.35">
      <c r="A43" s="1" t="s">
        <v>2</v>
      </c>
      <c r="B43" s="12" t="s">
        <v>49</v>
      </c>
      <c r="C43" s="13" t="s">
        <v>56</v>
      </c>
      <c r="D43" s="10">
        <v>3549600</v>
      </c>
      <c r="E43" s="10">
        <v>0</v>
      </c>
      <c r="F43" s="10">
        <v>0</v>
      </c>
      <c r="G43" s="10">
        <v>0</v>
      </c>
      <c r="H43" s="10">
        <f t="shared" si="0"/>
        <v>0</v>
      </c>
      <c r="I43" s="10">
        <f>D43</f>
        <v>3549600</v>
      </c>
      <c r="J43" s="10">
        <f t="shared" si="1"/>
        <v>-3549600</v>
      </c>
      <c r="K43" s="11">
        <f t="shared" si="4"/>
        <v>0</v>
      </c>
      <c r="L43" s="14" t="str">
        <f t="shared" si="3"/>
        <v>Slow</v>
      </c>
      <c r="M43" s="15">
        <v>-0.33333333333333331</v>
      </c>
    </row>
    <row r="44" spans="1:13" x14ac:dyDescent="0.35">
      <c r="A44" s="1" t="s">
        <v>2</v>
      </c>
      <c r="B44" s="8" t="s">
        <v>49</v>
      </c>
      <c r="C44" s="9" t="s">
        <v>57</v>
      </c>
      <c r="D44" s="10">
        <v>0</v>
      </c>
      <c r="E44" s="10">
        <v>0</v>
      </c>
      <c r="F44" s="10">
        <v>2938800</v>
      </c>
      <c r="G44" s="10">
        <v>4849200</v>
      </c>
      <c r="H44" s="10">
        <f t="shared" si="0"/>
        <v>3232800</v>
      </c>
      <c r="I44" s="10">
        <v>4849200</v>
      </c>
      <c r="J44" s="10">
        <f t="shared" si="1"/>
        <v>-1616400</v>
      </c>
      <c r="K44" s="11">
        <f t="shared" si="4"/>
        <v>0.66666666666666663</v>
      </c>
      <c r="L44" s="1" t="str">
        <f t="shared" si="3"/>
        <v>Fast</v>
      </c>
      <c r="M44" s="11">
        <v>0.55002041649652922</v>
      </c>
    </row>
    <row r="45" spans="1:13" x14ac:dyDescent="0.35">
      <c r="A45" s="1" t="s">
        <v>2</v>
      </c>
      <c r="B45" s="12" t="s">
        <v>49</v>
      </c>
      <c r="C45" s="13" t="s">
        <v>58</v>
      </c>
      <c r="D45" s="10">
        <v>0</v>
      </c>
      <c r="E45" s="10">
        <v>9589200</v>
      </c>
      <c r="F45" s="10">
        <v>11918400</v>
      </c>
      <c r="G45" s="10">
        <v>9840600</v>
      </c>
      <c r="H45" s="10">
        <f t="shared" si="0"/>
        <v>6560400</v>
      </c>
      <c r="I45" s="10">
        <v>15493920</v>
      </c>
      <c r="J45" s="10">
        <f t="shared" si="1"/>
        <v>-8933520</v>
      </c>
      <c r="K45" s="11">
        <f t="shared" si="4"/>
        <v>0.42341770191145944</v>
      </c>
      <c r="L45" s="14" t="str">
        <f t="shared" si="3"/>
        <v>Slow</v>
      </c>
      <c r="M45" s="11">
        <v>0.3561875930901523</v>
      </c>
    </row>
    <row r="46" spans="1:13" x14ac:dyDescent="0.35">
      <c r="A46" s="1" t="s">
        <v>2</v>
      </c>
      <c r="B46" s="8" t="s">
        <v>49</v>
      </c>
      <c r="C46" s="9" t="s">
        <v>59</v>
      </c>
      <c r="D46" s="10">
        <v>5324400</v>
      </c>
      <c r="E46" s="10">
        <v>26456400</v>
      </c>
      <c r="F46" s="10">
        <v>35755200</v>
      </c>
      <c r="G46" s="10">
        <v>35973000</v>
      </c>
      <c r="H46" s="10">
        <f t="shared" si="0"/>
        <v>23982000</v>
      </c>
      <c r="I46" s="10">
        <v>46481760</v>
      </c>
      <c r="J46" s="10">
        <f t="shared" si="1"/>
        <v>-22499760</v>
      </c>
      <c r="K46" s="11">
        <f t="shared" si="4"/>
        <v>0.51594431880376301</v>
      </c>
      <c r="L46" s="1" t="str">
        <f t="shared" si="3"/>
        <v>Fast</v>
      </c>
      <c r="M46" s="11">
        <v>1.4421552390007604</v>
      </c>
    </row>
    <row r="47" spans="1:13" x14ac:dyDescent="0.35">
      <c r="A47" s="1" t="s">
        <v>2</v>
      </c>
      <c r="B47" s="8" t="s">
        <v>49</v>
      </c>
      <c r="C47" s="9" t="s">
        <v>60</v>
      </c>
      <c r="D47" s="10">
        <v>0</v>
      </c>
      <c r="E47" s="10">
        <v>0</v>
      </c>
      <c r="F47" s="10">
        <v>0</v>
      </c>
      <c r="G47" s="10">
        <v>13413600</v>
      </c>
      <c r="H47" s="10">
        <f t="shared" si="0"/>
        <v>8942400</v>
      </c>
      <c r="I47" s="10">
        <v>13413600</v>
      </c>
      <c r="J47" s="10">
        <f t="shared" si="1"/>
        <v>-4471200</v>
      </c>
      <c r="K47" s="11">
        <f t="shared" si="4"/>
        <v>0.66666666666666663</v>
      </c>
      <c r="L47" s="1" t="str">
        <f t="shared" si="3"/>
        <v>Fast</v>
      </c>
      <c r="M47" s="11">
        <v>0.33333333333333331</v>
      </c>
    </row>
    <row r="48" spans="1:13" x14ac:dyDescent="0.35">
      <c r="A48" s="1" t="s">
        <v>2</v>
      </c>
      <c r="B48" s="8" t="s">
        <v>49</v>
      </c>
      <c r="C48" s="9" t="s">
        <v>61</v>
      </c>
      <c r="D48" s="10">
        <v>0</v>
      </c>
      <c r="E48" s="10">
        <v>3081600</v>
      </c>
      <c r="F48" s="10">
        <v>5449200</v>
      </c>
      <c r="G48" s="10">
        <v>8575200</v>
      </c>
      <c r="H48" s="10">
        <f t="shared" si="0"/>
        <v>5716800</v>
      </c>
      <c r="I48" s="10">
        <v>8575200</v>
      </c>
      <c r="J48" s="10">
        <f t="shared" si="1"/>
        <v>-2858400</v>
      </c>
      <c r="K48" s="11">
        <f t="shared" si="4"/>
        <v>0.66666666666666663</v>
      </c>
      <c r="L48" s="1" t="str">
        <f t="shared" si="3"/>
        <v>Fast</v>
      </c>
      <c r="M48" s="11">
        <v>0.78065478987684145</v>
      </c>
    </row>
    <row r="49" spans="1:13" x14ac:dyDescent="0.35">
      <c r="A49" s="1" t="s">
        <v>2</v>
      </c>
      <c r="B49" s="12" t="s">
        <v>49</v>
      </c>
      <c r="C49" s="13" t="s">
        <v>62</v>
      </c>
      <c r="D49" s="10">
        <v>3168000</v>
      </c>
      <c r="E49" s="10">
        <v>8328000</v>
      </c>
      <c r="F49" s="10">
        <v>6292800</v>
      </c>
      <c r="G49" s="10">
        <v>2887200</v>
      </c>
      <c r="H49" s="10">
        <f t="shared" si="0"/>
        <v>1924800</v>
      </c>
      <c r="I49" s="10">
        <v>8180640</v>
      </c>
      <c r="J49" s="10">
        <f t="shared" si="1"/>
        <v>-6255840</v>
      </c>
      <c r="K49" s="11">
        <f t="shared" si="4"/>
        <v>0.23528721469224903</v>
      </c>
      <c r="L49" s="14" t="str">
        <f t="shared" si="3"/>
        <v>Slow</v>
      </c>
      <c r="M49" s="11">
        <v>0.28107251465985045</v>
      </c>
    </row>
    <row r="50" spans="1:13" x14ac:dyDescent="0.35">
      <c r="A50" s="1" t="s">
        <v>2</v>
      </c>
      <c r="B50" s="12" t="s">
        <v>63</v>
      </c>
      <c r="C50" s="13" t="s">
        <v>64</v>
      </c>
      <c r="D50" s="10">
        <v>910800</v>
      </c>
      <c r="E50" s="10">
        <v>1913400</v>
      </c>
      <c r="F50" s="10">
        <v>1002600</v>
      </c>
      <c r="G50" s="10">
        <v>0</v>
      </c>
      <c r="H50" s="10">
        <f t="shared" si="0"/>
        <v>0</v>
      </c>
      <c r="I50" s="10">
        <v>1303380</v>
      </c>
      <c r="J50" s="10">
        <f t="shared" si="1"/>
        <v>-1303380</v>
      </c>
      <c r="K50" s="11">
        <f t="shared" si="4"/>
        <v>0</v>
      </c>
      <c r="L50" s="14" t="str">
        <f t="shared" si="3"/>
        <v>Slow</v>
      </c>
      <c r="M50" s="15">
        <v>-0.12507359165709198</v>
      </c>
    </row>
    <row r="51" spans="1:13" x14ac:dyDescent="0.35">
      <c r="A51" s="1" t="s">
        <v>2</v>
      </c>
      <c r="B51" s="12" t="s">
        <v>63</v>
      </c>
      <c r="C51" s="13" t="s">
        <v>65</v>
      </c>
      <c r="D51" s="10">
        <v>0</v>
      </c>
      <c r="E51" s="10">
        <v>1002600</v>
      </c>
      <c r="F51" s="10">
        <v>0</v>
      </c>
      <c r="G51" s="10">
        <v>0</v>
      </c>
      <c r="H51" s="10">
        <f t="shared" si="0"/>
        <v>0</v>
      </c>
      <c r="I51" s="10">
        <f>E51</f>
        <v>1002600</v>
      </c>
      <c r="J51" s="10">
        <f>E51</f>
        <v>1002600</v>
      </c>
      <c r="K51" s="11">
        <f t="shared" si="4"/>
        <v>0</v>
      </c>
      <c r="L51" s="14" t="str">
        <f t="shared" si="3"/>
        <v>Slow</v>
      </c>
      <c r="M51" s="11">
        <v>0</v>
      </c>
    </row>
    <row r="52" spans="1:13" x14ac:dyDescent="0.35">
      <c r="A52" s="1" t="s">
        <v>2</v>
      </c>
      <c r="B52" s="8" t="s">
        <v>63</v>
      </c>
      <c r="C52" s="9" t="s">
        <v>66</v>
      </c>
      <c r="D52" s="10">
        <v>0</v>
      </c>
      <c r="E52" s="10">
        <v>4449600</v>
      </c>
      <c r="F52" s="10">
        <v>2448000</v>
      </c>
      <c r="G52" s="10">
        <v>3672000</v>
      </c>
      <c r="H52" s="10">
        <f t="shared" si="0"/>
        <v>2448000</v>
      </c>
      <c r="I52" s="10">
        <v>3672000</v>
      </c>
      <c r="J52" s="10">
        <f t="shared" si="1"/>
        <v>-1224000</v>
      </c>
      <c r="K52" s="11">
        <f t="shared" si="4"/>
        <v>0.66666666666666663</v>
      </c>
      <c r="L52" s="1" t="str">
        <f t="shared" si="3"/>
        <v>Fast</v>
      </c>
      <c r="M52" s="11">
        <v>0.35005393743257818</v>
      </c>
    </row>
    <row r="53" spans="1:13" x14ac:dyDescent="0.35">
      <c r="A53" s="1" t="s">
        <v>2</v>
      </c>
      <c r="B53" s="12" t="s">
        <v>63</v>
      </c>
      <c r="C53" s="13" t="s">
        <v>67</v>
      </c>
      <c r="D53" s="10">
        <v>10560000</v>
      </c>
      <c r="E53" s="10">
        <v>8132400</v>
      </c>
      <c r="F53" s="10">
        <v>0</v>
      </c>
      <c r="G53" s="10">
        <v>0</v>
      </c>
      <c r="H53" s="10">
        <f t="shared" si="0"/>
        <v>0</v>
      </c>
      <c r="I53" s="10">
        <f>E53</f>
        <v>8132400</v>
      </c>
      <c r="J53" s="10">
        <f t="shared" si="1"/>
        <v>-8132400</v>
      </c>
      <c r="K53" s="11">
        <f t="shared" si="4"/>
        <v>0</v>
      </c>
      <c r="L53" s="14" t="str">
        <f t="shared" si="3"/>
        <v>Slow</v>
      </c>
      <c r="M53" s="15">
        <v>-0.40996212121212122</v>
      </c>
    </row>
    <row r="54" spans="1:13" x14ac:dyDescent="0.35">
      <c r="A54" s="1" t="s">
        <v>2</v>
      </c>
      <c r="B54" s="12" t="s">
        <v>63</v>
      </c>
      <c r="C54" s="13" t="s">
        <v>68</v>
      </c>
      <c r="D54" s="10">
        <v>1335600</v>
      </c>
      <c r="E54" s="10">
        <v>1335600</v>
      </c>
      <c r="F54" s="10">
        <v>0</v>
      </c>
      <c r="G54" s="10">
        <v>0</v>
      </c>
      <c r="H54" s="10">
        <f t="shared" si="0"/>
        <v>0</v>
      </c>
      <c r="I54" s="10">
        <f>E54</f>
        <v>1335600</v>
      </c>
      <c r="J54" s="10">
        <f t="shared" si="1"/>
        <v>-1335600</v>
      </c>
      <c r="K54" s="11">
        <f t="shared" si="4"/>
        <v>0</v>
      </c>
      <c r="L54" s="14" t="str">
        <f t="shared" si="3"/>
        <v>Slow</v>
      </c>
      <c r="M54" s="15">
        <v>-0.33333333333333331</v>
      </c>
    </row>
    <row r="55" spans="1:13" x14ac:dyDescent="0.35">
      <c r="A55" s="1" t="s">
        <v>2</v>
      </c>
      <c r="B55" s="12" t="s">
        <v>63</v>
      </c>
      <c r="C55" s="13" t="s">
        <v>69</v>
      </c>
      <c r="D55" s="10">
        <v>435600</v>
      </c>
      <c r="E55" s="10">
        <v>798000</v>
      </c>
      <c r="F55" s="10">
        <v>1680000</v>
      </c>
      <c r="G55" s="10">
        <v>529200</v>
      </c>
      <c r="H55" s="10">
        <f t="shared" si="0"/>
        <v>352800</v>
      </c>
      <c r="I55" s="10">
        <v>2184000</v>
      </c>
      <c r="J55" s="10">
        <f t="shared" si="1"/>
        <v>-1831200</v>
      </c>
      <c r="K55" s="11">
        <f t="shared" si="4"/>
        <v>0.16153846153846155</v>
      </c>
      <c r="L55" s="14" t="str">
        <f t="shared" si="3"/>
        <v>Slow</v>
      </c>
      <c r="M55" s="11">
        <v>0.41740636025325012</v>
      </c>
    </row>
    <row r="56" spans="1:13" x14ac:dyDescent="0.35">
      <c r="A56" s="1" t="s">
        <v>2</v>
      </c>
      <c r="B56" s="12" t="s">
        <v>63</v>
      </c>
      <c r="C56" s="13" t="s">
        <v>70</v>
      </c>
      <c r="D56" s="10">
        <v>489600</v>
      </c>
      <c r="E56" s="10">
        <v>1080000</v>
      </c>
      <c r="F56" s="10">
        <v>1350000</v>
      </c>
      <c r="G56" s="10">
        <v>0</v>
      </c>
      <c r="H56" s="10">
        <f t="shared" si="0"/>
        <v>0</v>
      </c>
      <c r="I56" s="10">
        <v>1755000</v>
      </c>
      <c r="J56" s="10">
        <f t="shared" si="1"/>
        <v>-1755000</v>
      </c>
      <c r="K56" s="11">
        <f t="shared" si="4"/>
        <v>0</v>
      </c>
      <c r="L56" s="14" t="str">
        <f t="shared" si="3"/>
        <v>Slow</v>
      </c>
      <c r="M56" s="11">
        <v>0.15196078431372553</v>
      </c>
    </row>
    <row r="57" spans="1:13" x14ac:dyDescent="0.35">
      <c r="A57" s="1" t="s">
        <v>2</v>
      </c>
      <c r="B57" s="12" t="s">
        <v>63</v>
      </c>
      <c r="C57" s="13" t="s">
        <v>71</v>
      </c>
      <c r="D57" s="10">
        <v>10444800</v>
      </c>
      <c r="E57" s="10">
        <v>22710000</v>
      </c>
      <c r="F57" s="10">
        <f>10704000+186000</f>
        <v>10890000</v>
      </c>
      <c r="G57" s="10">
        <v>10611000</v>
      </c>
      <c r="H57" s="10">
        <f t="shared" si="0"/>
        <v>7074000</v>
      </c>
      <c r="I57" s="10">
        <v>14157000</v>
      </c>
      <c r="J57" s="10">
        <f t="shared" si="1"/>
        <v>-7083000</v>
      </c>
      <c r="K57" s="11">
        <f t="shared" si="4"/>
        <v>0.49968213604577238</v>
      </c>
      <c r="L57" s="14" t="str">
        <f t="shared" si="3"/>
        <v>Slow</v>
      </c>
      <c r="M57" s="11">
        <v>0.20939742922870044</v>
      </c>
    </row>
    <row r="58" spans="1:13" x14ac:dyDescent="0.35">
      <c r="A58" s="1" t="s">
        <v>2</v>
      </c>
      <c r="B58" s="12" t="s">
        <v>63</v>
      </c>
      <c r="C58" s="13" t="s">
        <v>72</v>
      </c>
      <c r="D58" s="10">
        <v>5335200</v>
      </c>
      <c r="E58" s="10">
        <v>9658800</v>
      </c>
      <c r="F58" s="10">
        <v>11138400</v>
      </c>
      <c r="G58" s="10">
        <v>10641600</v>
      </c>
      <c r="H58" s="10">
        <f t="shared" si="0"/>
        <v>7094400</v>
      </c>
      <c r="I58" s="10">
        <v>14479920</v>
      </c>
      <c r="J58" s="10">
        <f t="shared" si="1"/>
        <v>-7385520</v>
      </c>
      <c r="K58" s="11">
        <f t="shared" si="4"/>
        <v>0.48994745827325015</v>
      </c>
      <c r="L58" s="14" t="str">
        <f t="shared" si="3"/>
        <v>Slow</v>
      </c>
      <c r="M58" s="11">
        <v>0.30632521264224838</v>
      </c>
    </row>
    <row r="59" spans="1:13" x14ac:dyDescent="0.35">
      <c r="A59" s="1" t="s">
        <v>2</v>
      </c>
      <c r="B59" s="12" t="s">
        <v>63</v>
      </c>
      <c r="C59" s="13" t="s">
        <v>73</v>
      </c>
      <c r="D59" s="10">
        <v>355200</v>
      </c>
      <c r="E59" s="10">
        <v>0</v>
      </c>
      <c r="F59" s="10">
        <v>0</v>
      </c>
      <c r="G59" s="10">
        <v>662400</v>
      </c>
      <c r="H59" s="10">
        <f t="shared" si="0"/>
        <v>441600</v>
      </c>
      <c r="I59" s="10">
        <v>662400</v>
      </c>
      <c r="J59" s="10">
        <f t="shared" si="1"/>
        <v>-220800</v>
      </c>
      <c r="K59" s="11">
        <f t="shared" si="4"/>
        <v>0.66666666666666663</v>
      </c>
      <c r="L59" s="14" t="str">
        <f t="shared" si="3"/>
        <v>Slow</v>
      </c>
      <c r="M59" s="11">
        <v>0</v>
      </c>
    </row>
    <row r="60" spans="1:13" x14ac:dyDescent="0.35">
      <c r="A60" s="1" t="s">
        <v>2</v>
      </c>
      <c r="B60" s="8" t="s">
        <v>63</v>
      </c>
      <c r="C60" s="9" t="s">
        <v>74</v>
      </c>
      <c r="D60" s="10">
        <v>1119600</v>
      </c>
      <c r="E60" s="10">
        <v>4039200</v>
      </c>
      <c r="F60" s="10">
        <v>3418800</v>
      </c>
      <c r="G60" s="10">
        <v>3438000</v>
      </c>
      <c r="H60" s="10">
        <f t="shared" si="0"/>
        <v>2292000</v>
      </c>
      <c r="I60" s="10">
        <v>4444440</v>
      </c>
      <c r="J60" s="10">
        <f t="shared" si="1"/>
        <v>-2152440</v>
      </c>
      <c r="K60" s="11">
        <f t="shared" si="4"/>
        <v>0.51570051570051567</v>
      </c>
      <c r="L60" s="1" t="str">
        <f t="shared" si="3"/>
        <v>Fast</v>
      </c>
      <c r="M60" s="11">
        <v>0.81991275872493963</v>
      </c>
    </row>
    <row r="61" spans="1:13" x14ac:dyDescent="0.35">
      <c r="A61" s="1" t="s">
        <v>2</v>
      </c>
      <c r="B61" s="8" t="s">
        <v>63</v>
      </c>
      <c r="C61" s="9" t="s">
        <v>75</v>
      </c>
      <c r="D61" s="10">
        <v>213600</v>
      </c>
      <c r="E61" s="10">
        <v>1389600</v>
      </c>
      <c r="F61" s="10">
        <v>2427600</v>
      </c>
      <c r="G61" s="10">
        <v>4752000</v>
      </c>
      <c r="H61" s="10">
        <f t="shared" si="0"/>
        <v>3168000</v>
      </c>
      <c r="I61" s="10">
        <v>4752000</v>
      </c>
      <c r="J61" s="10">
        <f t="shared" si="1"/>
        <v>-1584000</v>
      </c>
      <c r="K61" s="11">
        <f t="shared" si="4"/>
        <v>0.66666666666666663</v>
      </c>
      <c r="L61" s="1" t="str">
        <f t="shared" si="3"/>
        <v>Fast</v>
      </c>
      <c r="M61" s="11">
        <v>2.4033614676426249</v>
      </c>
    </row>
    <row r="62" spans="1:13" x14ac:dyDescent="0.35">
      <c r="A62" s="1" t="s">
        <v>2</v>
      </c>
      <c r="B62" s="12" t="s">
        <v>63</v>
      </c>
      <c r="C62" s="13" t="s">
        <v>76</v>
      </c>
      <c r="D62" s="10">
        <v>0</v>
      </c>
      <c r="E62" s="10">
        <v>2220000</v>
      </c>
      <c r="F62" s="10">
        <f>9116900+720000</f>
        <v>9836900</v>
      </c>
      <c r="G62" s="10">
        <v>4566000</v>
      </c>
      <c r="H62" s="10">
        <f t="shared" si="0"/>
        <v>3044000</v>
      </c>
      <c r="I62" s="10">
        <v>12787970</v>
      </c>
      <c r="J62" s="10">
        <f t="shared" si="1"/>
        <v>-9743970</v>
      </c>
      <c r="K62" s="11">
        <f t="shared" si="4"/>
        <v>0.23803621685068077</v>
      </c>
      <c r="L62" s="14" t="str">
        <f t="shared" si="3"/>
        <v>Slow</v>
      </c>
      <c r="M62" s="11">
        <v>1.2984022196316212</v>
      </c>
    </row>
    <row r="63" spans="1:13" x14ac:dyDescent="0.35">
      <c r="A63" s="1" t="s">
        <v>2</v>
      </c>
      <c r="B63" s="8" t="s">
        <v>63</v>
      </c>
      <c r="C63" s="9" t="s">
        <v>77</v>
      </c>
      <c r="D63" s="10">
        <v>0</v>
      </c>
      <c r="E63" s="10">
        <v>1080000</v>
      </c>
      <c r="F63" s="10">
        <v>990500</v>
      </c>
      <c r="G63" s="10">
        <v>1487250</v>
      </c>
      <c r="H63" s="10">
        <f t="shared" si="0"/>
        <v>991500</v>
      </c>
      <c r="I63" s="10">
        <v>1487250</v>
      </c>
      <c r="J63" s="10">
        <f t="shared" si="1"/>
        <v>-495750</v>
      </c>
      <c r="K63" s="11">
        <f t="shared" si="4"/>
        <v>0.66666666666666663</v>
      </c>
      <c r="L63" s="1" t="str">
        <f t="shared" si="3"/>
        <v>Fast</v>
      </c>
      <c r="M63" s="11">
        <v>0.47288133876767563</v>
      </c>
    </row>
    <row r="64" spans="1:13" x14ac:dyDescent="0.35">
      <c r="A64" s="1" t="s">
        <v>2</v>
      </c>
      <c r="B64" s="12" t="s">
        <v>63</v>
      </c>
      <c r="C64" s="13" t="s">
        <v>78</v>
      </c>
      <c r="D64" s="10">
        <v>4656000</v>
      </c>
      <c r="E64" s="10">
        <v>7452000</v>
      </c>
      <c r="F64" s="10">
        <v>5380800</v>
      </c>
      <c r="G64" s="10">
        <v>4228200</v>
      </c>
      <c r="H64" s="10">
        <f t="shared" si="0"/>
        <v>2818800</v>
      </c>
      <c r="I64" s="10">
        <v>6995040</v>
      </c>
      <c r="J64" s="10">
        <f t="shared" si="1"/>
        <v>-4176240</v>
      </c>
      <c r="K64" s="11">
        <f t="shared" si="4"/>
        <v>0.40297124819872365</v>
      </c>
      <c r="L64" s="14" t="str">
        <f t="shared" si="3"/>
        <v>Slow</v>
      </c>
      <c r="M64" s="11">
        <v>3.6123529843815359E-2</v>
      </c>
    </row>
    <row r="65" spans="1:13" x14ac:dyDescent="0.35">
      <c r="A65" s="1" t="s">
        <v>2</v>
      </c>
      <c r="B65" s="8" t="s">
        <v>63</v>
      </c>
      <c r="C65" s="9" t="s">
        <v>79</v>
      </c>
      <c r="D65" s="10">
        <v>6912000</v>
      </c>
      <c r="E65" s="10">
        <v>10292400</v>
      </c>
      <c r="F65" s="10">
        <v>9708000</v>
      </c>
      <c r="G65" s="10">
        <v>15951600</v>
      </c>
      <c r="H65" s="10">
        <f t="shared" si="0"/>
        <v>10634400</v>
      </c>
      <c r="I65" s="10">
        <v>15951600</v>
      </c>
      <c r="J65" s="10">
        <f t="shared" si="1"/>
        <v>-5317200</v>
      </c>
      <c r="K65" s="11">
        <f t="shared" si="4"/>
        <v>0.66666666666666663</v>
      </c>
      <c r="L65" s="1" t="str">
        <f t="shared" si="3"/>
        <v>Fast</v>
      </c>
      <c r="M65" s="11">
        <v>0.35847413959759766</v>
      </c>
    </row>
    <row r="66" spans="1:13" x14ac:dyDescent="0.35">
      <c r="A66" s="1" t="s">
        <v>2</v>
      </c>
      <c r="B66" s="12" t="s">
        <v>63</v>
      </c>
      <c r="C66" s="13" t="s">
        <v>80</v>
      </c>
      <c r="D66" s="10">
        <v>7596000</v>
      </c>
      <c r="E66" s="10">
        <v>17946000</v>
      </c>
      <c r="F66" s="10">
        <f>35562000+1717200</f>
        <v>37279200</v>
      </c>
      <c r="G66" s="10">
        <v>28944000</v>
      </c>
      <c r="H66" s="10">
        <f t="shared" si="0"/>
        <v>19296000</v>
      </c>
      <c r="I66" s="10">
        <v>48462960</v>
      </c>
      <c r="J66" s="10">
        <f t="shared" si="1"/>
        <v>-29166960</v>
      </c>
      <c r="K66" s="11">
        <f t="shared" si="4"/>
        <v>0.39815974921878483</v>
      </c>
      <c r="L66" s="14" t="str">
        <f t="shared" si="3"/>
        <v>Slow</v>
      </c>
      <c r="M66" s="11">
        <v>0.73875643834550642</v>
      </c>
    </row>
    <row r="67" spans="1:13" x14ac:dyDescent="0.35">
      <c r="A67" s="1" t="s">
        <v>2</v>
      </c>
      <c r="B67" s="12" t="s">
        <v>63</v>
      </c>
      <c r="C67" s="13" t="s">
        <v>81</v>
      </c>
      <c r="D67" s="10">
        <v>758400</v>
      </c>
      <c r="E67" s="10">
        <v>2433600</v>
      </c>
      <c r="F67" s="10">
        <v>418800</v>
      </c>
      <c r="G67" s="10">
        <v>0</v>
      </c>
      <c r="H67" s="10">
        <f t="shared" ref="H67:H70" si="5">(G67/12)*8</f>
        <v>0</v>
      </c>
      <c r="I67" s="10">
        <v>544440</v>
      </c>
      <c r="J67" s="10">
        <f t="shared" ref="J67:J130" si="6">H67-I67</f>
        <v>-544440</v>
      </c>
      <c r="K67" s="11">
        <f t="shared" si="4"/>
        <v>0</v>
      </c>
      <c r="L67" s="14" t="str">
        <f t="shared" si="3"/>
        <v>Slow</v>
      </c>
      <c r="M67" s="11">
        <v>0.12698382975890268</v>
      </c>
    </row>
    <row r="68" spans="1:13" x14ac:dyDescent="0.35">
      <c r="A68" s="1" t="s">
        <v>2</v>
      </c>
      <c r="B68" s="12" t="s">
        <v>63</v>
      </c>
      <c r="C68" s="13" t="s">
        <v>82</v>
      </c>
      <c r="D68" s="10">
        <v>711600</v>
      </c>
      <c r="E68" s="10">
        <v>6268800</v>
      </c>
      <c r="F68" s="10">
        <v>1567200</v>
      </c>
      <c r="G68" s="10">
        <v>0</v>
      </c>
      <c r="H68" s="10">
        <f t="shared" si="5"/>
        <v>0</v>
      </c>
      <c r="I68" s="10">
        <v>2037360</v>
      </c>
      <c r="J68" s="10">
        <f t="shared" si="6"/>
        <v>-2037360</v>
      </c>
      <c r="K68" s="11">
        <f t="shared" si="4"/>
        <v>0</v>
      </c>
      <c r="L68" s="14" t="str">
        <f t="shared" ref="L68:L131" si="7">IF(AND(K68&gt;=50%)*M68&gt;0%,"Fast","Slow")</f>
        <v>Slow</v>
      </c>
      <c r="M68" s="11">
        <v>2.0198145025295111</v>
      </c>
    </row>
    <row r="69" spans="1:13" x14ac:dyDescent="0.35">
      <c r="A69" s="1" t="s">
        <v>2</v>
      </c>
      <c r="B69" s="12" t="s">
        <v>63</v>
      </c>
      <c r="C69" s="13" t="s">
        <v>83</v>
      </c>
      <c r="D69" s="10">
        <v>504000</v>
      </c>
      <c r="E69" s="10">
        <v>0</v>
      </c>
      <c r="F69" s="10">
        <v>0</v>
      </c>
      <c r="G69" s="10">
        <v>0</v>
      </c>
      <c r="H69" s="10">
        <f t="shared" si="5"/>
        <v>0</v>
      </c>
      <c r="I69" s="10">
        <f>D69</f>
        <v>504000</v>
      </c>
      <c r="J69" s="10">
        <f t="shared" si="6"/>
        <v>-504000</v>
      </c>
      <c r="K69" s="11">
        <f t="shared" si="4"/>
        <v>0</v>
      </c>
      <c r="L69" s="14" t="str">
        <f t="shared" si="7"/>
        <v>Slow</v>
      </c>
      <c r="M69" s="15">
        <v>-0.33333333333333331</v>
      </c>
    </row>
    <row r="70" spans="1:13" x14ac:dyDescent="0.35">
      <c r="A70" s="1" t="s">
        <v>2</v>
      </c>
      <c r="B70" s="8" t="s">
        <v>63</v>
      </c>
      <c r="C70" s="9" t="s">
        <v>84</v>
      </c>
      <c r="D70" s="10">
        <v>2654400</v>
      </c>
      <c r="E70" s="10">
        <v>5246400</v>
      </c>
      <c r="F70" s="10">
        <v>6873600</v>
      </c>
      <c r="G70" s="10">
        <v>8429400</v>
      </c>
      <c r="H70" s="10">
        <f t="shared" si="5"/>
        <v>5619600</v>
      </c>
      <c r="I70" s="10">
        <v>8935680</v>
      </c>
      <c r="J70" s="10">
        <f t="shared" si="6"/>
        <v>-3316080</v>
      </c>
      <c r="K70" s="11">
        <f t="shared" si="4"/>
        <v>0.62889449935539321</v>
      </c>
      <c r="L70" s="1" t="str">
        <f t="shared" si="7"/>
        <v>Fast</v>
      </c>
      <c r="M70" s="11">
        <v>0.50433055717832742</v>
      </c>
    </row>
    <row r="71" spans="1:13" x14ac:dyDescent="0.35">
      <c r="A71" s="1" t="s">
        <v>85</v>
      </c>
      <c r="B71" s="12" t="s">
        <v>13</v>
      </c>
      <c r="C71" s="13" t="s">
        <v>14</v>
      </c>
      <c r="D71" s="10">
        <v>0</v>
      </c>
      <c r="E71" s="10">
        <v>7776000</v>
      </c>
      <c r="F71" s="10">
        <v>6048000</v>
      </c>
      <c r="G71" s="10">
        <f>(F71/9)*3</f>
        <v>2016000</v>
      </c>
      <c r="H71" s="10">
        <v>0</v>
      </c>
      <c r="I71" s="16">
        <f>(F71/12)*4</f>
        <v>2016000</v>
      </c>
      <c r="J71" s="16">
        <f t="shared" si="6"/>
        <v>-2016000</v>
      </c>
      <c r="K71" s="11">
        <f t="shared" si="4"/>
        <v>0</v>
      </c>
      <c r="L71" s="14" t="str">
        <f t="shared" si="7"/>
        <v>Slow</v>
      </c>
      <c r="M71" s="11">
        <v>0.3888888888888889</v>
      </c>
    </row>
    <row r="72" spans="1:13" x14ac:dyDescent="0.35">
      <c r="A72" s="1" t="s">
        <v>85</v>
      </c>
      <c r="B72" s="12" t="s">
        <v>13</v>
      </c>
      <c r="C72" s="13" t="s">
        <v>15</v>
      </c>
      <c r="D72" s="10">
        <v>0</v>
      </c>
      <c r="E72" s="10">
        <v>6384000</v>
      </c>
      <c r="F72" s="10">
        <v>4788000</v>
      </c>
      <c r="G72" s="10">
        <f t="shared" ref="G72:G122" si="8">(F72/9)*3</f>
        <v>1596000</v>
      </c>
      <c r="H72" s="10">
        <v>0</v>
      </c>
      <c r="I72" s="16">
        <f>(F72/12)*4</f>
        <v>1596000</v>
      </c>
      <c r="J72" s="16">
        <f t="shared" si="6"/>
        <v>-1596000</v>
      </c>
      <c r="K72" s="11">
        <f t="shared" ref="K72:K135" si="9">H72/I72</f>
        <v>0</v>
      </c>
      <c r="L72" s="14" t="str">
        <f t="shared" si="7"/>
        <v>Slow</v>
      </c>
      <c r="M72" s="11">
        <v>0.375</v>
      </c>
    </row>
    <row r="73" spans="1:13" x14ac:dyDescent="0.35">
      <c r="A73" s="1" t="s">
        <v>85</v>
      </c>
      <c r="B73" s="12" t="s">
        <v>13</v>
      </c>
      <c r="C73" s="13" t="s">
        <v>17</v>
      </c>
      <c r="D73" s="10">
        <v>0</v>
      </c>
      <c r="E73" s="10">
        <v>2124000</v>
      </c>
      <c r="F73" s="10">
        <v>0</v>
      </c>
      <c r="G73" s="10">
        <f t="shared" si="8"/>
        <v>0</v>
      </c>
      <c r="H73" s="10">
        <v>0</v>
      </c>
      <c r="I73" s="16">
        <f>(E73/12)*4</f>
        <v>708000</v>
      </c>
      <c r="J73" s="16">
        <f t="shared" si="6"/>
        <v>-708000</v>
      </c>
      <c r="K73" s="11">
        <f t="shared" si="9"/>
        <v>0</v>
      </c>
      <c r="L73" s="14" t="str">
        <f t="shared" si="7"/>
        <v>Slow</v>
      </c>
      <c r="M73" s="15">
        <v>-0.5</v>
      </c>
    </row>
    <row r="74" spans="1:13" x14ac:dyDescent="0.35">
      <c r="A74" s="1" t="s">
        <v>85</v>
      </c>
      <c r="B74" s="12" t="s">
        <v>13</v>
      </c>
      <c r="C74" s="13" t="s">
        <v>18</v>
      </c>
      <c r="D74" s="10">
        <v>0</v>
      </c>
      <c r="E74" s="10">
        <v>7416000</v>
      </c>
      <c r="F74" s="10">
        <v>51912000</v>
      </c>
      <c r="G74" s="10">
        <f t="shared" si="8"/>
        <v>17304000</v>
      </c>
      <c r="H74" s="10">
        <v>0</v>
      </c>
      <c r="I74" s="16">
        <f t="shared" ref="I74:I80" si="10">(F74/12)*4</f>
        <v>17304000</v>
      </c>
      <c r="J74" s="16">
        <f t="shared" si="6"/>
        <v>-17304000</v>
      </c>
      <c r="K74" s="11">
        <f t="shared" si="9"/>
        <v>0</v>
      </c>
      <c r="L74" s="14" t="str">
        <f t="shared" si="7"/>
        <v>Slow</v>
      </c>
      <c r="M74" s="11">
        <v>3.5</v>
      </c>
    </row>
    <row r="75" spans="1:13" x14ac:dyDescent="0.35">
      <c r="A75" s="1" t="s">
        <v>85</v>
      </c>
      <c r="B75" s="12" t="s">
        <v>13</v>
      </c>
      <c r="C75" s="13" t="s">
        <v>19</v>
      </c>
      <c r="D75" s="10">
        <v>0</v>
      </c>
      <c r="E75" s="10">
        <v>9504000</v>
      </c>
      <c r="F75" s="10">
        <v>5940000</v>
      </c>
      <c r="G75" s="10">
        <f t="shared" si="8"/>
        <v>1980000</v>
      </c>
      <c r="H75" s="10">
        <v>0</v>
      </c>
      <c r="I75" s="16">
        <f t="shared" si="10"/>
        <v>1980000</v>
      </c>
      <c r="J75" s="16">
        <f t="shared" si="6"/>
        <v>-1980000</v>
      </c>
      <c r="K75" s="11">
        <f t="shared" si="9"/>
        <v>0</v>
      </c>
      <c r="L75" s="14" t="str">
        <f t="shared" si="7"/>
        <v>Slow</v>
      </c>
      <c r="M75" s="11">
        <v>0.3125</v>
      </c>
    </row>
    <row r="76" spans="1:13" x14ac:dyDescent="0.35">
      <c r="A76" s="1" t="s">
        <v>85</v>
      </c>
      <c r="B76" s="12" t="s">
        <v>13</v>
      </c>
      <c r="C76" s="13" t="s">
        <v>86</v>
      </c>
      <c r="D76" s="10">
        <v>0</v>
      </c>
      <c r="E76" s="10">
        <v>3852000</v>
      </c>
      <c r="F76" s="10">
        <v>2996000</v>
      </c>
      <c r="G76" s="10">
        <f t="shared" si="8"/>
        <v>998666.66666666663</v>
      </c>
      <c r="H76" s="10">
        <v>0</v>
      </c>
      <c r="I76" s="16">
        <f t="shared" si="10"/>
        <v>998666.66666666663</v>
      </c>
      <c r="J76" s="16">
        <f t="shared" si="6"/>
        <v>-998666.66666666663</v>
      </c>
      <c r="K76" s="11">
        <f t="shared" si="9"/>
        <v>0</v>
      </c>
      <c r="L76" s="14" t="str">
        <f t="shared" si="7"/>
        <v>Slow</v>
      </c>
      <c r="M76" s="11">
        <v>0.3888888888888889</v>
      </c>
    </row>
    <row r="77" spans="1:13" x14ac:dyDescent="0.35">
      <c r="A77" s="1" t="s">
        <v>85</v>
      </c>
      <c r="B77" s="12" t="s">
        <v>13</v>
      </c>
      <c r="C77" s="13" t="s">
        <v>20</v>
      </c>
      <c r="D77" s="10">
        <v>0</v>
      </c>
      <c r="E77" s="10">
        <v>2832000</v>
      </c>
      <c r="F77" s="10">
        <v>1416000</v>
      </c>
      <c r="G77" s="10">
        <f t="shared" si="8"/>
        <v>472000</v>
      </c>
      <c r="H77" s="10">
        <v>0</v>
      </c>
      <c r="I77" s="16">
        <f t="shared" si="10"/>
        <v>472000</v>
      </c>
      <c r="J77" s="16">
        <f t="shared" si="6"/>
        <v>-472000</v>
      </c>
      <c r="K77" s="11">
        <f t="shared" si="9"/>
        <v>0</v>
      </c>
      <c r="L77" s="14" t="str">
        <f t="shared" si="7"/>
        <v>Slow</v>
      </c>
      <c r="M77" s="11">
        <v>0.25</v>
      </c>
    </row>
    <row r="78" spans="1:13" x14ac:dyDescent="0.35">
      <c r="A78" s="1" t="s">
        <v>85</v>
      </c>
      <c r="B78" s="12" t="s">
        <v>13</v>
      </c>
      <c r="C78" s="13" t="s">
        <v>21</v>
      </c>
      <c r="D78" s="10">
        <v>0</v>
      </c>
      <c r="E78" s="10">
        <v>5712000</v>
      </c>
      <c r="F78" s="10">
        <v>2856000</v>
      </c>
      <c r="G78" s="10">
        <f t="shared" si="8"/>
        <v>952000</v>
      </c>
      <c r="H78" s="10">
        <v>0</v>
      </c>
      <c r="I78" s="16">
        <f t="shared" si="10"/>
        <v>952000</v>
      </c>
      <c r="J78" s="16">
        <f t="shared" si="6"/>
        <v>-952000</v>
      </c>
      <c r="K78" s="11">
        <f t="shared" si="9"/>
        <v>0</v>
      </c>
      <c r="L78" s="14" t="str">
        <f t="shared" si="7"/>
        <v>Slow</v>
      </c>
      <c r="M78" s="11">
        <v>0.25</v>
      </c>
    </row>
    <row r="79" spans="1:13" x14ac:dyDescent="0.35">
      <c r="A79" s="1" t="s">
        <v>85</v>
      </c>
      <c r="B79" s="12" t="s">
        <v>13</v>
      </c>
      <c r="C79" s="13" t="s">
        <v>22</v>
      </c>
      <c r="D79" s="10">
        <v>0</v>
      </c>
      <c r="E79" s="10">
        <v>2028000</v>
      </c>
      <c r="F79" s="10">
        <v>2028000</v>
      </c>
      <c r="G79" s="10">
        <f t="shared" si="8"/>
        <v>676000</v>
      </c>
      <c r="H79" s="10">
        <v>0</v>
      </c>
      <c r="I79" s="16">
        <f t="shared" si="10"/>
        <v>676000</v>
      </c>
      <c r="J79" s="16">
        <f t="shared" si="6"/>
        <v>-676000</v>
      </c>
      <c r="K79" s="11">
        <f t="shared" si="9"/>
        <v>0</v>
      </c>
      <c r="L79" s="14" t="str">
        <f t="shared" si="7"/>
        <v>Slow</v>
      </c>
      <c r="M79" s="11">
        <v>0.5</v>
      </c>
    </row>
    <row r="80" spans="1:13" x14ac:dyDescent="0.35">
      <c r="A80" s="1" t="s">
        <v>85</v>
      </c>
      <c r="B80" s="12" t="s">
        <v>13</v>
      </c>
      <c r="C80" s="13" t="s">
        <v>23</v>
      </c>
      <c r="D80" s="10">
        <v>0</v>
      </c>
      <c r="E80" s="10">
        <v>16128000</v>
      </c>
      <c r="F80" s="10">
        <v>18144000</v>
      </c>
      <c r="G80" s="10">
        <f t="shared" si="8"/>
        <v>6048000</v>
      </c>
      <c r="H80" s="10">
        <v>0</v>
      </c>
      <c r="I80" s="16">
        <f t="shared" si="10"/>
        <v>6048000</v>
      </c>
      <c r="J80" s="16">
        <f t="shared" si="6"/>
        <v>-6048000</v>
      </c>
      <c r="K80" s="11">
        <f t="shared" si="9"/>
        <v>0</v>
      </c>
      <c r="L80" s="14" t="str">
        <f t="shared" si="7"/>
        <v>Slow</v>
      </c>
      <c r="M80" s="11">
        <v>0.5625</v>
      </c>
    </row>
    <row r="81" spans="1:13" x14ac:dyDescent="0.35">
      <c r="A81" s="1" t="s">
        <v>85</v>
      </c>
      <c r="B81" s="12" t="s">
        <v>13</v>
      </c>
      <c r="C81" s="13" t="s">
        <v>27</v>
      </c>
      <c r="D81" s="10">
        <v>0</v>
      </c>
      <c r="E81" s="10">
        <v>5160000</v>
      </c>
      <c r="F81" s="10">
        <v>0</v>
      </c>
      <c r="G81" s="10">
        <f t="shared" si="8"/>
        <v>0</v>
      </c>
      <c r="H81" s="10">
        <v>0</v>
      </c>
      <c r="I81" s="16">
        <f>(E81/12)*4</f>
        <v>1720000</v>
      </c>
      <c r="J81" s="16">
        <f t="shared" si="6"/>
        <v>-1720000</v>
      </c>
      <c r="K81" s="11">
        <f t="shared" si="9"/>
        <v>0</v>
      </c>
      <c r="L81" s="14" t="str">
        <f t="shared" si="7"/>
        <v>Slow</v>
      </c>
      <c r="M81" s="15">
        <v>-0.5</v>
      </c>
    </row>
    <row r="82" spans="1:13" x14ac:dyDescent="0.35">
      <c r="A82" s="1" t="s">
        <v>85</v>
      </c>
      <c r="B82" s="12" t="s">
        <v>13</v>
      </c>
      <c r="C82" s="13" t="s">
        <v>28</v>
      </c>
      <c r="D82" s="10">
        <v>0</v>
      </c>
      <c r="E82" s="10">
        <v>24940000</v>
      </c>
      <c r="F82" s="10">
        <v>20640000</v>
      </c>
      <c r="G82" s="10">
        <f t="shared" si="8"/>
        <v>6880000</v>
      </c>
      <c r="H82" s="10">
        <v>0</v>
      </c>
      <c r="I82" s="16">
        <f t="shared" ref="I82:I87" si="11">(F82/12)*4</f>
        <v>6880000</v>
      </c>
      <c r="J82" s="16">
        <f t="shared" si="6"/>
        <v>-6880000</v>
      </c>
      <c r="K82" s="11">
        <f t="shared" si="9"/>
        <v>0</v>
      </c>
      <c r="L82" s="14" t="str">
        <f t="shared" si="7"/>
        <v>Slow</v>
      </c>
      <c r="M82" s="11">
        <v>0.41379310344827586</v>
      </c>
    </row>
    <row r="83" spans="1:13" x14ac:dyDescent="0.35">
      <c r="A83" s="1" t="s">
        <v>85</v>
      </c>
      <c r="B83" s="12" t="s">
        <v>13</v>
      </c>
      <c r="C83" s="13" t="s">
        <v>29</v>
      </c>
      <c r="D83" s="10">
        <v>0</v>
      </c>
      <c r="E83" s="10">
        <v>5724000</v>
      </c>
      <c r="F83" s="10">
        <v>7632000</v>
      </c>
      <c r="G83" s="10">
        <f t="shared" si="8"/>
        <v>2544000</v>
      </c>
      <c r="H83" s="10">
        <v>0</v>
      </c>
      <c r="I83" s="16">
        <f t="shared" si="11"/>
        <v>2544000</v>
      </c>
      <c r="J83" s="16">
        <f t="shared" si="6"/>
        <v>-2544000</v>
      </c>
      <c r="K83" s="11">
        <f t="shared" si="9"/>
        <v>0</v>
      </c>
      <c r="L83" s="14" t="str">
        <f t="shared" si="7"/>
        <v>Slow</v>
      </c>
      <c r="M83" s="11">
        <v>0.66666666666666663</v>
      </c>
    </row>
    <row r="84" spans="1:13" x14ac:dyDescent="0.35">
      <c r="A84" s="1" t="s">
        <v>85</v>
      </c>
      <c r="B84" s="12" t="s">
        <v>13</v>
      </c>
      <c r="C84" s="13" t="s">
        <v>30</v>
      </c>
      <c r="D84" s="10">
        <v>0</v>
      </c>
      <c r="E84" s="10">
        <v>48636000</v>
      </c>
      <c r="F84" s="10">
        <v>113484000</v>
      </c>
      <c r="G84" s="10">
        <f t="shared" si="8"/>
        <v>37828000</v>
      </c>
      <c r="H84" s="10">
        <v>0</v>
      </c>
      <c r="I84" s="16">
        <f t="shared" si="11"/>
        <v>37828000</v>
      </c>
      <c r="J84" s="16">
        <f t="shared" si="6"/>
        <v>-37828000</v>
      </c>
      <c r="K84" s="11">
        <f t="shared" si="9"/>
        <v>0</v>
      </c>
      <c r="L84" s="14" t="str">
        <f t="shared" si="7"/>
        <v>Slow</v>
      </c>
      <c r="M84" s="11">
        <v>1.1666666666666667</v>
      </c>
    </row>
    <row r="85" spans="1:13" x14ac:dyDescent="0.35">
      <c r="A85" s="1" t="s">
        <v>85</v>
      </c>
      <c r="B85" s="12" t="s">
        <v>13</v>
      </c>
      <c r="C85" s="13" t="s">
        <v>31</v>
      </c>
      <c r="D85" s="10">
        <v>0</v>
      </c>
      <c r="E85" s="10">
        <v>24384000</v>
      </c>
      <c r="F85" s="10">
        <v>70104000</v>
      </c>
      <c r="G85" s="10">
        <f t="shared" si="8"/>
        <v>23368000</v>
      </c>
      <c r="H85" s="10">
        <v>0</v>
      </c>
      <c r="I85" s="16">
        <f t="shared" si="11"/>
        <v>23368000</v>
      </c>
      <c r="J85" s="16">
        <f t="shared" si="6"/>
        <v>-23368000</v>
      </c>
      <c r="K85" s="11">
        <f t="shared" si="9"/>
        <v>0</v>
      </c>
      <c r="L85" s="14" t="str">
        <f t="shared" si="7"/>
        <v>Slow</v>
      </c>
      <c r="M85" s="11">
        <v>1.4375</v>
      </c>
    </row>
    <row r="86" spans="1:13" x14ac:dyDescent="0.35">
      <c r="A86" s="1" t="s">
        <v>85</v>
      </c>
      <c r="B86" s="12" t="s">
        <v>13</v>
      </c>
      <c r="C86" s="13" t="s">
        <v>32</v>
      </c>
      <c r="D86" s="10">
        <v>0</v>
      </c>
      <c r="E86" s="10">
        <v>9264000</v>
      </c>
      <c r="F86" s="10">
        <v>2316000</v>
      </c>
      <c r="G86" s="10">
        <f t="shared" si="8"/>
        <v>772000</v>
      </c>
      <c r="H86" s="10">
        <v>0</v>
      </c>
      <c r="I86" s="16">
        <f t="shared" si="11"/>
        <v>772000</v>
      </c>
      <c r="J86" s="16">
        <f t="shared" si="6"/>
        <v>-772000</v>
      </c>
      <c r="K86" s="11">
        <f t="shared" si="9"/>
        <v>0</v>
      </c>
      <c r="L86" s="14" t="str">
        <f t="shared" si="7"/>
        <v>Slow</v>
      </c>
      <c r="M86" s="11">
        <v>0.125</v>
      </c>
    </row>
    <row r="87" spans="1:13" x14ac:dyDescent="0.35">
      <c r="A87" s="1" t="s">
        <v>85</v>
      </c>
      <c r="B87" s="12" t="s">
        <v>13</v>
      </c>
      <c r="C87" s="13" t="s">
        <v>33</v>
      </c>
      <c r="D87" s="10">
        <v>0</v>
      </c>
      <c r="E87" s="10">
        <v>21744000</v>
      </c>
      <c r="F87" s="10">
        <v>5436000</v>
      </c>
      <c r="G87" s="10">
        <f t="shared" si="8"/>
        <v>1812000</v>
      </c>
      <c r="H87" s="10">
        <v>0</v>
      </c>
      <c r="I87" s="16">
        <f t="shared" si="11"/>
        <v>1812000</v>
      </c>
      <c r="J87" s="16">
        <f t="shared" si="6"/>
        <v>-1812000</v>
      </c>
      <c r="K87" s="11">
        <f t="shared" si="9"/>
        <v>0</v>
      </c>
      <c r="L87" s="14" t="str">
        <f t="shared" si="7"/>
        <v>Slow</v>
      </c>
      <c r="M87" s="11">
        <v>0.125</v>
      </c>
    </row>
    <row r="88" spans="1:13" x14ac:dyDescent="0.35">
      <c r="A88" s="1" t="s">
        <v>85</v>
      </c>
      <c r="B88" s="12" t="s">
        <v>13</v>
      </c>
      <c r="C88" s="13" t="s">
        <v>34</v>
      </c>
      <c r="D88" s="10">
        <v>0</v>
      </c>
      <c r="E88" s="10">
        <v>3624000</v>
      </c>
      <c r="F88" s="10">
        <v>0</v>
      </c>
      <c r="G88" s="10">
        <f t="shared" si="8"/>
        <v>0</v>
      </c>
      <c r="H88" s="10">
        <v>0</v>
      </c>
      <c r="I88" s="16">
        <f>(E88/12)*4</f>
        <v>1208000</v>
      </c>
      <c r="J88" s="16">
        <f t="shared" si="6"/>
        <v>-1208000</v>
      </c>
      <c r="K88" s="11">
        <f t="shared" si="9"/>
        <v>0</v>
      </c>
      <c r="L88" s="14" t="str">
        <f t="shared" si="7"/>
        <v>Slow</v>
      </c>
      <c r="M88" s="15">
        <v>-0.5</v>
      </c>
    </row>
    <row r="89" spans="1:13" x14ac:dyDescent="0.35">
      <c r="A89" s="1" t="s">
        <v>85</v>
      </c>
      <c r="B89" s="12" t="s">
        <v>13</v>
      </c>
      <c r="C89" s="13" t="s">
        <v>35</v>
      </c>
      <c r="D89" s="10">
        <v>0</v>
      </c>
      <c r="E89" s="10">
        <v>10980000</v>
      </c>
      <c r="F89" s="10">
        <v>10980000</v>
      </c>
      <c r="G89" s="10">
        <f t="shared" si="8"/>
        <v>3660000</v>
      </c>
      <c r="H89" s="10">
        <v>0</v>
      </c>
      <c r="I89" s="16">
        <f>(F89/12)*4</f>
        <v>3660000</v>
      </c>
      <c r="J89" s="16">
        <f t="shared" si="6"/>
        <v>-3660000</v>
      </c>
      <c r="K89" s="11">
        <f t="shared" si="9"/>
        <v>0</v>
      </c>
      <c r="L89" s="14" t="str">
        <f t="shared" si="7"/>
        <v>Slow</v>
      </c>
      <c r="M89" s="11">
        <v>0.5</v>
      </c>
    </row>
    <row r="90" spans="1:13" x14ac:dyDescent="0.35">
      <c r="A90" s="1" t="s">
        <v>85</v>
      </c>
      <c r="B90" s="12" t="s">
        <v>13</v>
      </c>
      <c r="C90" s="13" t="s">
        <v>36</v>
      </c>
      <c r="D90" s="10">
        <v>0</v>
      </c>
      <c r="E90" s="10">
        <v>24384000</v>
      </c>
      <c r="F90" s="10">
        <v>27432000</v>
      </c>
      <c r="G90" s="10">
        <f t="shared" si="8"/>
        <v>9144000</v>
      </c>
      <c r="H90" s="10">
        <v>0</v>
      </c>
      <c r="I90" s="16">
        <f>(F90/12)*4</f>
        <v>9144000</v>
      </c>
      <c r="J90" s="16">
        <f t="shared" si="6"/>
        <v>-9144000</v>
      </c>
      <c r="K90" s="11">
        <f t="shared" si="9"/>
        <v>0</v>
      </c>
      <c r="L90" s="14" t="str">
        <f t="shared" si="7"/>
        <v>Slow</v>
      </c>
      <c r="M90" s="11">
        <v>0.5625</v>
      </c>
    </row>
    <row r="91" spans="1:13" x14ac:dyDescent="0.35">
      <c r="A91" s="1" t="s">
        <v>85</v>
      </c>
      <c r="B91" s="12" t="s">
        <v>49</v>
      </c>
      <c r="C91" s="13" t="s">
        <v>50</v>
      </c>
      <c r="D91" s="10">
        <v>0</v>
      </c>
      <c r="E91" s="10">
        <v>1718100</v>
      </c>
      <c r="F91" s="10">
        <v>2028600</v>
      </c>
      <c r="G91" s="10">
        <f t="shared" si="8"/>
        <v>676200</v>
      </c>
      <c r="H91" s="10">
        <v>0</v>
      </c>
      <c r="I91" s="16">
        <f>(F91/12)*4</f>
        <v>676200</v>
      </c>
      <c r="J91" s="16">
        <f t="shared" si="6"/>
        <v>-676200</v>
      </c>
      <c r="K91" s="11">
        <f t="shared" si="9"/>
        <v>0</v>
      </c>
      <c r="L91" s="14" t="str">
        <f t="shared" si="7"/>
        <v>Slow</v>
      </c>
      <c r="M91" s="11">
        <v>0.59036144578313254</v>
      </c>
    </row>
    <row r="92" spans="1:13" x14ac:dyDescent="0.35">
      <c r="A92" s="1" t="s">
        <v>85</v>
      </c>
      <c r="B92" s="12" t="s">
        <v>49</v>
      </c>
      <c r="C92" s="13" t="s">
        <v>51</v>
      </c>
      <c r="D92" s="10">
        <v>0</v>
      </c>
      <c r="E92" s="10">
        <v>1040400</v>
      </c>
      <c r="F92" s="10">
        <v>1907400</v>
      </c>
      <c r="G92" s="10">
        <f t="shared" si="8"/>
        <v>635800</v>
      </c>
      <c r="H92" s="10">
        <v>0</v>
      </c>
      <c r="I92" s="16">
        <f>(F92/12)*4</f>
        <v>635800</v>
      </c>
      <c r="J92" s="16">
        <f t="shared" si="6"/>
        <v>-635800</v>
      </c>
      <c r="K92" s="11">
        <f t="shared" si="9"/>
        <v>0</v>
      </c>
      <c r="L92" s="14" t="str">
        <f t="shared" si="7"/>
        <v>Slow</v>
      </c>
      <c r="M92" s="11">
        <v>0.91666666666666663</v>
      </c>
    </row>
    <row r="93" spans="1:13" x14ac:dyDescent="0.35">
      <c r="A93" s="1" t="s">
        <v>85</v>
      </c>
      <c r="B93" s="12" t="s">
        <v>49</v>
      </c>
      <c r="C93" s="13" t="s">
        <v>52</v>
      </c>
      <c r="D93" s="10">
        <v>0</v>
      </c>
      <c r="E93" s="10">
        <v>6840200</v>
      </c>
      <c r="F93" s="10">
        <v>124164500</v>
      </c>
      <c r="G93" s="10">
        <f t="shared" si="8"/>
        <v>41388166.666666672</v>
      </c>
      <c r="H93" s="10">
        <v>0</v>
      </c>
      <c r="I93" s="16">
        <f>(F93/12)*4</f>
        <v>41388166.666666664</v>
      </c>
      <c r="J93" s="16">
        <f t="shared" si="6"/>
        <v>-41388166.666666664</v>
      </c>
      <c r="K93" s="11">
        <f t="shared" si="9"/>
        <v>0</v>
      </c>
      <c r="L93" s="14" t="str">
        <f t="shared" si="7"/>
        <v>Slow</v>
      </c>
      <c r="M93" s="11">
        <v>9.0760869565217384</v>
      </c>
    </row>
    <row r="94" spans="1:13" x14ac:dyDescent="0.35">
      <c r="A94" s="1" t="s">
        <v>85</v>
      </c>
      <c r="B94" s="12" t="s">
        <v>49</v>
      </c>
      <c r="C94" s="13" t="s">
        <v>53</v>
      </c>
      <c r="D94" s="10">
        <v>0</v>
      </c>
      <c r="E94" s="10">
        <v>2324400</v>
      </c>
      <c r="F94" s="10">
        <v>0</v>
      </c>
      <c r="G94" s="10">
        <f t="shared" si="8"/>
        <v>0</v>
      </c>
      <c r="H94" s="10">
        <v>0</v>
      </c>
      <c r="I94" s="16">
        <f>(E94/12)*4</f>
        <v>774800</v>
      </c>
      <c r="J94" s="16">
        <f t="shared" si="6"/>
        <v>-774800</v>
      </c>
      <c r="K94" s="11">
        <f t="shared" si="9"/>
        <v>0</v>
      </c>
      <c r="L94" s="14" t="str">
        <f t="shared" si="7"/>
        <v>Slow</v>
      </c>
      <c r="M94" s="15">
        <v>-0.5</v>
      </c>
    </row>
    <row r="95" spans="1:13" x14ac:dyDescent="0.35">
      <c r="A95" s="1" t="s">
        <v>85</v>
      </c>
      <c r="B95" s="12" t="s">
        <v>49</v>
      </c>
      <c r="C95" s="13" t="s">
        <v>54</v>
      </c>
      <c r="D95" s="10">
        <v>0</v>
      </c>
      <c r="E95" s="10">
        <v>14423900</v>
      </c>
      <c r="F95" s="10">
        <v>40595100</v>
      </c>
      <c r="G95" s="10">
        <f t="shared" si="8"/>
        <v>13531700</v>
      </c>
      <c r="H95" s="10">
        <v>0</v>
      </c>
      <c r="I95" s="16">
        <f>(F95/12)*4</f>
        <v>13531700</v>
      </c>
      <c r="J95" s="16">
        <f t="shared" si="6"/>
        <v>-13531700</v>
      </c>
      <c r="K95" s="11">
        <f t="shared" si="9"/>
        <v>0</v>
      </c>
      <c r="L95" s="14" t="str">
        <f t="shared" si="7"/>
        <v>Slow</v>
      </c>
      <c r="M95" s="11">
        <v>1.4072164948453609</v>
      </c>
    </row>
    <row r="96" spans="1:13" x14ac:dyDescent="0.35">
      <c r="A96" s="1" t="s">
        <v>85</v>
      </c>
      <c r="B96" s="12" t="s">
        <v>49</v>
      </c>
      <c r="C96" s="13" t="s">
        <v>55</v>
      </c>
      <c r="D96" s="10">
        <v>0</v>
      </c>
      <c r="E96" s="10">
        <v>15613500</v>
      </c>
      <c r="F96" s="10">
        <v>136357900</v>
      </c>
      <c r="G96" s="10">
        <f t="shared" si="8"/>
        <v>45452633.333333336</v>
      </c>
      <c r="H96" s="10">
        <v>0</v>
      </c>
      <c r="I96" s="16">
        <f>(F96/12)*4</f>
        <v>45452633.333333336</v>
      </c>
      <c r="J96" s="16">
        <f t="shared" si="6"/>
        <v>-45452633.333333336</v>
      </c>
      <c r="K96" s="11">
        <f t="shared" si="9"/>
        <v>0</v>
      </c>
      <c r="L96" s="14" t="str">
        <f t="shared" si="7"/>
        <v>Slow</v>
      </c>
      <c r="M96" s="11">
        <v>4.3666666666666663</v>
      </c>
    </row>
    <row r="97" spans="1:13" x14ac:dyDescent="0.35">
      <c r="A97" s="1" t="s">
        <v>85</v>
      </c>
      <c r="B97" s="12" t="s">
        <v>49</v>
      </c>
      <c r="C97" s="13" t="s">
        <v>87</v>
      </c>
      <c r="D97" s="10">
        <v>0</v>
      </c>
      <c r="E97" s="10">
        <v>1790800</v>
      </c>
      <c r="F97" s="10">
        <v>4884000</v>
      </c>
      <c r="G97" s="10">
        <f t="shared" si="8"/>
        <v>1628000</v>
      </c>
      <c r="H97" s="10">
        <v>0</v>
      </c>
      <c r="I97" s="16">
        <f>(F97/12)*4</f>
        <v>1628000</v>
      </c>
      <c r="J97" s="16">
        <f t="shared" si="6"/>
        <v>-1628000</v>
      </c>
      <c r="K97" s="11">
        <f t="shared" si="9"/>
        <v>0</v>
      </c>
      <c r="L97" s="14" t="str">
        <f t="shared" si="7"/>
        <v>Slow</v>
      </c>
      <c r="M97" s="11">
        <v>1.3636363636363635</v>
      </c>
    </row>
    <row r="98" spans="1:13" x14ac:dyDescent="0.35">
      <c r="A98" s="1" t="s">
        <v>85</v>
      </c>
      <c r="B98" s="12" t="s">
        <v>49</v>
      </c>
      <c r="C98" s="13" t="s">
        <v>57</v>
      </c>
      <c r="D98" s="10">
        <v>0</v>
      </c>
      <c r="E98" s="10">
        <v>1469400</v>
      </c>
      <c r="F98" s="10">
        <v>0</v>
      </c>
      <c r="G98" s="10">
        <f t="shared" si="8"/>
        <v>0</v>
      </c>
      <c r="H98" s="10">
        <v>0</v>
      </c>
      <c r="I98" s="16">
        <f>(E98/12)*4</f>
        <v>489800</v>
      </c>
      <c r="J98" s="16">
        <f t="shared" si="6"/>
        <v>-489800</v>
      </c>
      <c r="K98" s="11">
        <f t="shared" si="9"/>
        <v>0</v>
      </c>
      <c r="L98" s="14" t="str">
        <f t="shared" si="7"/>
        <v>Slow</v>
      </c>
      <c r="M98" s="15">
        <v>-0.5</v>
      </c>
    </row>
    <row r="99" spans="1:13" x14ac:dyDescent="0.35">
      <c r="A99" s="1" t="s">
        <v>85</v>
      </c>
      <c r="B99" s="12" t="s">
        <v>49</v>
      </c>
      <c r="C99" s="13" t="s">
        <v>58</v>
      </c>
      <c r="D99" s="10">
        <v>0</v>
      </c>
      <c r="E99" s="10">
        <v>2279200</v>
      </c>
      <c r="F99" s="10">
        <v>2116400</v>
      </c>
      <c r="G99" s="10">
        <f t="shared" si="8"/>
        <v>705466.66666666674</v>
      </c>
      <c r="H99" s="10">
        <v>0</v>
      </c>
      <c r="I99" s="16">
        <f>(F99/12)*4</f>
        <v>705466.66666666663</v>
      </c>
      <c r="J99" s="16">
        <f t="shared" si="6"/>
        <v>-705466.66666666663</v>
      </c>
      <c r="K99" s="11">
        <f t="shared" si="9"/>
        <v>0</v>
      </c>
      <c r="L99" s="14" t="str">
        <f t="shared" si="7"/>
        <v>Slow</v>
      </c>
      <c r="M99" s="11">
        <v>0.4642857142857143</v>
      </c>
    </row>
    <row r="100" spans="1:13" x14ac:dyDescent="0.35">
      <c r="A100" s="1" t="s">
        <v>85</v>
      </c>
      <c r="B100" s="12" t="s">
        <v>49</v>
      </c>
      <c r="C100" s="13" t="s">
        <v>59</v>
      </c>
      <c r="D100" s="10">
        <v>0</v>
      </c>
      <c r="E100" s="10">
        <v>5860800</v>
      </c>
      <c r="F100" s="10">
        <v>0</v>
      </c>
      <c r="G100" s="10">
        <f t="shared" si="8"/>
        <v>0</v>
      </c>
      <c r="H100" s="10">
        <v>0</v>
      </c>
      <c r="I100" s="16">
        <f>(E100/12)*4</f>
        <v>1953600</v>
      </c>
      <c r="J100" s="16">
        <f t="shared" si="6"/>
        <v>-1953600</v>
      </c>
      <c r="K100" s="11">
        <f t="shared" si="9"/>
        <v>0</v>
      </c>
      <c r="L100" s="14" t="str">
        <f t="shared" si="7"/>
        <v>Slow</v>
      </c>
      <c r="M100" s="15">
        <v>-0.5</v>
      </c>
    </row>
    <row r="101" spans="1:13" x14ac:dyDescent="0.35">
      <c r="A101" s="1" t="s">
        <v>85</v>
      </c>
      <c r="B101" s="12" t="s">
        <v>49</v>
      </c>
      <c r="C101" s="13" t="s">
        <v>62</v>
      </c>
      <c r="D101" s="10">
        <v>0</v>
      </c>
      <c r="E101" s="10">
        <v>800800</v>
      </c>
      <c r="F101" s="10">
        <v>1747200</v>
      </c>
      <c r="G101" s="10">
        <f t="shared" si="8"/>
        <v>582400</v>
      </c>
      <c r="H101" s="10">
        <v>0</v>
      </c>
      <c r="I101" s="16">
        <f>(F101/12)*4</f>
        <v>582400</v>
      </c>
      <c r="J101" s="16">
        <f t="shared" si="6"/>
        <v>-582400</v>
      </c>
      <c r="K101" s="11">
        <f t="shared" si="9"/>
        <v>0</v>
      </c>
      <c r="L101" s="14" t="str">
        <f t="shared" si="7"/>
        <v>Slow</v>
      </c>
      <c r="M101" s="11">
        <v>1.0909090909090908</v>
      </c>
    </row>
    <row r="102" spans="1:13" x14ac:dyDescent="0.35">
      <c r="A102" s="1" t="s">
        <v>85</v>
      </c>
      <c r="B102" s="12" t="s">
        <v>63</v>
      </c>
      <c r="C102" s="13" t="s">
        <v>88</v>
      </c>
      <c r="D102" s="10">
        <v>0</v>
      </c>
      <c r="E102" s="10">
        <v>283100</v>
      </c>
      <c r="F102" s="10">
        <v>0</v>
      </c>
      <c r="G102" s="10">
        <f t="shared" si="8"/>
        <v>0</v>
      </c>
      <c r="H102" s="10">
        <v>0</v>
      </c>
      <c r="I102" s="16">
        <f>(E102/12)*4</f>
        <v>94366.666666666672</v>
      </c>
      <c r="J102" s="16">
        <f t="shared" si="6"/>
        <v>-94366.666666666672</v>
      </c>
      <c r="K102" s="11">
        <f t="shared" si="9"/>
        <v>0</v>
      </c>
      <c r="L102" s="14" t="str">
        <f t="shared" si="7"/>
        <v>Slow</v>
      </c>
      <c r="M102" s="15">
        <v>-0.5</v>
      </c>
    </row>
    <row r="103" spans="1:13" x14ac:dyDescent="0.35">
      <c r="A103" s="1" t="s">
        <v>85</v>
      </c>
      <c r="B103" s="12" t="s">
        <v>63</v>
      </c>
      <c r="C103" s="13" t="s">
        <v>64</v>
      </c>
      <c r="D103" s="10">
        <v>0</v>
      </c>
      <c r="E103" s="10">
        <v>3342000</v>
      </c>
      <c r="F103" s="10">
        <v>2172300</v>
      </c>
      <c r="G103" s="10">
        <f t="shared" si="8"/>
        <v>724100</v>
      </c>
      <c r="H103" s="10">
        <v>0</v>
      </c>
      <c r="I103" s="16">
        <f>(F103/12)*4</f>
        <v>724100</v>
      </c>
      <c r="J103" s="16">
        <f t="shared" si="6"/>
        <v>-724100</v>
      </c>
      <c r="K103" s="11">
        <f t="shared" si="9"/>
        <v>0</v>
      </c>
      <c r="L103" s="14" t="str">
        <f t="shared" si="7"/>
        <v>Slow</v>
      </c>
      <c r="M103" s="11">
        <v>0.32500000000000001</v>
      </c>
    </row>
    <row r="104" spans="1:13" x14ac:dyDescent="0.35">
      <c r="A104" s="1" t="s">
        <v>85</v>
      </c>
      <c r="B104" s="12" t="s">
        <v>63</v>
      </c>
      <c r="C104" s="13" t="s">
        <v>89</v>
      </c>
      <c r="D104" s="10">
        <v>0</v>
      </c>
      <c r="E104" s="10">
        <v>7786800</v>
      </c>
      <c r="F104" s="10">
        <v>1854000</v>
      </c>
      <c r="G104" s="10">
        <f t="shared" si="8"/>
        <v>618000</v>
      </c>
      <c r="H104" s="10">
        <v>0</v>
      </c>
      <c r="I104" s="16">
        <f>(F104/12)*4</f>
        <v>618000</v>
      </c>
      <c r="J104" s="16">
        <f t="shared" si="6"/>
        <v>-618000</v>
      </c>
      <c r="K104" s="11">
        <f t="shared" si="9"/>
        <v>0</v>
      </c>
      <c r="L104" s="14" t="str">
        <f t="shared" si="7"/>
        <v>Slow</v>
      </c>
      <c r="M104" s="11">
        <v>0.11904761904761904</v>
      </c>
    </row>
    <row r="105" spans="1:13" x14ac:dyDescent="0.35">
      <c r="A105" s="1" t="s">
        <v>85</v>
      </c>
      <c r="B105" s="12" t="s">
        <v>63</v>
      </c>
      <c r="C105" s="13" t="s">
        <v>65</v>
      </c>
      <c r="D105" s="10">
        <v>0</v>
      </c>
      <c r="E105" s="10">
        <v>501300</v>
      </c>
      <c r="F105" s="10">
        <v>0</v>
      </c>
      <c r="G105" s="10">
        <f t="shared" si="8"/>
        <v>0</v>
      </c>
      <c r="H105" s="10">
        <v>0</v>
      </c>
      <c r="I105" s="16">
        <f t="shared" ref="I105:I109" si="12">(E105/12)*4</f>
        <v>167100</v>
      </c>
      <c r="J105" s="16">
        <f t="shared" si="6"/>
        <v>-167100</v>
      </c>
      <c r="K105" s="11">
        <f t="shared" si="9"/>
        <v>0</v>
      </c>
      <c r="L105" s="14" t="str">
        <f t="shared" si="7"/>
        <v>Slow</v>
      </c>
      <c r="M105" s="15">
        <v>-0.5</v>
      </c>
    </row>
    <row r="106" spans="1:13" x14ac:dyDescent="0.35">
      <c r="A106" s="1" t="s">
        <v>85</v>
      </c>
      <c r="B106" s="12" t="s">
        <v>63</v>
      </c>
      <c r="C106" s="13" t="s">
        <v>66</v>
      </c>
      <c r="D106" s="10">
        <v>0</v>
      </c>
      <c r="E106" s="10">
        <v>12978000</v>
      </c>
      <c r="F106" s="10">
        <v>0</v>
      </c>
      <c r="G106" s="10">
        <f t="shared" si="8"/>
        <v>0</v>
      </c>
      <c r="H106" s="10">
        <v>0</v>
      </c>
      <c r="I106" s="16">
        <f t="shared" si="12"/>
        <v>4326000</v>
      </c>
      <c r="J106" s="16">
        <f t="shared" si="6"/>
        <v>-4326000</v>
      </c>
      <c r="K106" s="11">
        <f t="shared" si="9"/>
        <v>0</v>
      </c>
      <c r="L106" s="14" t="str">
        <f t="shared" si="7"/>
        <v>Slow</v>
      </c>
      <c r="M106" s="15">
        <v>-0.5</v>
      </c>
    </row>
    <row r="107" spans="1:13" x14ac:dyDescent="0.35">
      <c r="A107" s="1" t="s">
        <v>85</v>
      </c>
      <c r="B107" s="12" t="s">
        <v>63</v>
      </c>
      <c r="C107" s="13" t="s">
        <v>69</v>
      </c>
      <c r="D107" s="10">
        <v>0</v>
      </c>
      <c r="E107" s="10">
        <v>79800</v>
      </c>
      <c r="F107" s="10">
        <v>0</v>
      </c>
      <c r="G107" s="10">
        <f t="shared" si="8"/>
        <v>0</v>
      </c>
      <c r="H107" s="10">
        <v>0</v>
      </c>
      <c r="I107" s="16">
        <f t="shared" si="12"/>
        <v>26600</v>
      </c>
      <c r="J107" s="16">
        <f t="shared" si="6"/>
        <v>-26600</v>
      </c>
      <c r="K107" s="11">
        <f t="shared" si="9"/>
        <v>0</v>
      </c>
      <c r="L107" s="14" t="str">
        <f t="shared" si="7"/>
        <v>Slow</v>
      </c>
      <c r="M107" s="15">
        <v>-0.5</v>
      </c>
    </row>
    <row r="108" spans="1:13" x14ac:dyDescent="0.35">
      <c r="A108" s="1" t="s">
        <v>85</v>
      </c>
      <c r="B108" s="12" t="s">
        <v>63</v>
      </c>
      <c r="C108" s="13" t="s">
        <v>70</v>
      </c>
      <c r="D108" s="10">
        <v>0</v>
      </c>
      <c r="E108" s="10">
        <v>45000</v>
      </c>
      <c r="F108" s="10">
        <v>0</v>
      </c>
      <c r="G108" s="10">
        <f t="shared" si="8"/>
        <v>0</v>
      </c>
      <c r="H108" s="10">
        <v>0</v>
      </c>
      <c r="I108" s="16">
        <f t="shared" si="12"/>
        <v>15000</v>
      </c>
      <c r="J108" s="16">
        <f t="shared" si="6"/>
        <v>-15000</v>
      </c>
      <c r="K108" s="11">
        <f t="shared" si="9"/>
        <v>0</v>
      </c>
      <c r="L108" s="14" t="str">
        <f t="shared" si="7"/>
        <v>Slow</v>
      </c>
      <c r="M108" s="15">
        <v>-0.5</v>
      </c>
    </row>
    <row r="109" spans="1:13" x14ac:dyDescent="0.35">
      <c r="A109" s="1" t="s">
        <v>85</v>
      </c>
      <c r="B109" s="12" t="s">
        <v>63</v>
      </c>
      <c r="C109" s="13" t="s">
        <v>90</v>
      </c>
      <c r="D109" s="10">
        <v>0</v>
      </c>
      <c r="E109" s="10">
        <v>275400</v>
      </c>
      <c r="F109" s="10">
        <v>0</v>
      </c>
      <c r="G109" s="10">
        <f t="shared" si="8"/>
        <v>0</v>
      </c>
      <c r="H109" s="10">
        <v>0</v>
      </c>
      <c r="I109" s="16">
        <f t="shared" si="12"/>
        <v>91800</v>
      </c>
      <c r="J109" s="16">
        <f t="shared" si="6"/>
        <v>-91800</v>
      </c>
      <c r="K109" s="11">
        <f t="shared" si="9"/>
        <v>0</v>
      </c>
      <c r="L109" s="14" t="str">
        <f t="shared" si="7"/>
        <v>Slow</v>
      </c>
      <c r="M109" s="15">
        <v>-0.5</v>
      </c>
    </row>
    <row r="110" spans="1:13" x14ac:dyDescent="0.35">
      <c r="A110" s="1" t="s">
        <v>85</v>
      </c>
      <c r="B110" s="12" t="s">
        <v>63</v>
      </c>
      <c r="C110" s="13" t="s">
        <v>71</v>
      </c>
      <c r="D110" s="10">
        <v>0</v>
      </c>
      <c r="E110" s="10">
        <v>945500</v>
      </c>
      <c r="F110" s="10">
        <v>31000</v>
      </c>
      <c r="G110" s="10">
        <f t="shared" si="8"/>
        <v>10333.333333333332</v>
      </c>
      <c r="H110" s="10">
        <v>0</v>
      </c>
      <c r="I110" s="16">
        <f>(F110/12)*4</f>
        <v>10333.333333333334</v>
      </c>
      <c r="J110" s="16">
        <f t="shared" si="6"/>
        <v>-10333.333333333334</v>
      </c>
      <c r="K110" s="11">
        <f t="shared" si="9"/>
        <v>0</v>
      </c>
      <c r="L110" s="14" t="str">
        <f t="shared" si="7"/>
        <v>Slow</v>
      </c>
      <c r="M110" s="11">
        <v>1.6393442622950821E-2</v>
      </c>
    </row>
    <row r="111" spans="1:13" x14ac:dyDescent="0.35">
      <c r="A111" s="1" t="s">
        <v>85</v>
      </c>
      <c r="B111" s="12" t="s">
        <v>63</v>
      </c>
      <c r="C111" s="13" t="s">
        <v>72</v>
      </c>
      <c r="D111" s="10">
        <v>0</v>
      </c>
      <c r="E111" s="10">
        <v>3807700</v>
      </c>
      <c r="F111" s="10">
        <v>5089500</v>
      </c>
      <c r="G111" s="10">
        <f t="shared" si="8"/>
        <v>1696500</v>
      </c>
      <c r="H111" s="10">
        <v>0</v>
      </c>
      <c r="I111" s="16">
        <f>(F111/12)*4</f>
        <v>1696500</v>
      </c>
      <c r="J111" s="16">
        <f t="shared" si="6"/>
        <v>-1696500</v>
      </c>
      <c r="K111" s="11">
        <f t="shared" si="9"/>
        <v>0</v>
      </c>
      <c r="L111" s="14" t="str">
        <f t="shared" si="7"/>
        <v>Slow</v>
      </c>
      <c r="M111" s="11">
        <v>0.66831683168316836</v>
      </c>
    </row>
    <row r="112" spans="1:13" x14ac:dyDescent="0.35">
      <c r="A112" s="1" t="s">
        <v>85</v>
      </c>
      <c r="B112" s="12" t="s">
        <v>63</v>
      </c>
      <c r="C112" s="13" t="s">
        <v>73</v>
      </c>
      <c r="D112" s="10">
        <v>0</v>
      </c>
      <c r="E112" s="10">
        <v>65600</v>
      </c>
      <c r="F112" s="10">
        <v>41000</v>
      </c>
      <c r="G112" s="10">
        <f t="shared" si="8"/>
        <v>13666.666666666668</v>
      </c>
      <c r="H112" s="10">
        <v>0</v>
      </c>
      <c r="I112" s="16">
        <f>(F112/12)*4</f>
        <v>13666.666666666666</v>
      </c>
      <c r="J112" s="16">
        <f t="shared" si="6"/>
        <v>-13666.666666666666</v>
      </c>
      <c r="K112" s="11">
        <f t="shared" si="9"/>
        <v>0</v>
      </c>
      <c r="L112" s="14" t="str">
        <f t="shared" si="7"/>
        <v>Slow</v>
      </c>
      <c r="M112" s="11">
        <v>0.3125</v>
      </c>
    </row>
    <row r="113" spans="1:13" x14ac:dyDescent="0.35">
      <c r="A113" s="1" t="s">
        <v>85</v>
      </c>
      <c r="B113" s="12" t="s">
        <v>63</v>
      </c>
      <c r="C113" s="13" t="s">
        <v>74</v>
      </c>
      <c r="D113" s="10">
        <v>0</v>
      </c>
      <c r="E113" s="10">
        <v>720300</v>
      </c>
      <c r="F113" s="10">
        <v>68600</v>
      </c>
      <c r="G113" s="10">
        <f t="shared" si="8"/>
        <v>22866.666666666668</v>
      </c>
      <c r="H113" s="10">
        <v>0</v>
      </c>
      <c r="I113" s="16">
        <f>(F113/12)*4</f>
        <v>22866.666666666668</v>
      </c>
      <c r="J113" s="16">
        <f t="shared" si="6"/>
        <v>-22866.666666666668</v>
      </c>
      <c r="K113" s="11">
        <f t="shared" si="9"/>
        <v>0</v>
      </c>
      <c r="L113" s="14" t="str">
        <f t="shared" si="7"/>
        <v>Slow</v>
      </c>
      <c r="M113" s="11">
        <v>4.7619047619047616E-2</v>
      </c>
    </row>
    <row r="114" spans="1:13" x14ac:dyDescent="0.35">
      <c r="A114" s="1" t="s">
        <v>85</v>
      </c>
      <c r="B114" s="12" t="s">
        <v>63</v>
      </c>
      <c r="C114" s="13" t="s">
        <v>75</v>
      </c>
      <c r="D114" s="10">
        <v>0</v>
      </c>
      <c r="E114" s="10">
        <v>627200</v>
      </c>
      <c r="F114" s="10">
        <v>39200</v>
      </c>
      <c r="G114" s="10">
        <f t="shared" si="8"/>
        <v>13066.666666666668</v>
      </c>
      <c r="H114" s="10">
        <v>0</v>
      </c>
      <c r="I114" s="16">
        <f>(F114/12)*4</f>
        <v>13066.666666666666</v>
      </c>
      <c r="J114" s="16">
        <f t="shared" si="6"/>
        <v>-13066.666666666666</v>
      </c>
      <c r="K114" s="11">
        <f t="shared" si="9"/>
        <v>0</v>
      </c>
      <c r="L114" s="14" t="str">
        <f t="shared" si="7"/>
        <v>Slow</v>
      </c>
      <c r="M114" s="11">
        <v>3.125E-2</v>
      </c>
    </row>
    <row r="115" spans="1:13" x14ac:dyDescent="0.35">
      <c r="A115" s="1" t="s">
        <v>85</v>
      </c>
      <c r="B115" s="12" t="s">
        <v>63</v>
      </c>
      <c r="C115" s="13" t="s">
        <v>76</v>
      </c>
      <c r="D115" s="10">
        <v>0</v>
      </c>
      <c r="E115" s="10">
        <v>1440000</v>
      </c>
      <c r="F115" s="10">
        <v>0</v>
      </c>
      <c r="G115" s="10">
        <f t="shared" si="8"/>
        <v>0</v>
      </c>
      <c r="H115" s="10">
        <v>0</v>
      </c>
      <c r="I115" s="16">
        <f t="shared" ref="I115:I116" si="13">(E115/12)*4</f>
        <v>480000</v>
      </c>
      <c r="J115" s="16">
        <f t="shared" si="6"/>
        <v>-480000</v>
      </c>
      <c r="K115" s="11">
        <f t="shared" si="9"/>
        <v>0</v>
      </c>
      <c r="L115" s="14" t="str">
        <f t="shared" si="7"/>
        <v>Slow</v>
      </c>
      <c r="M115" s="15">
        <v>-0.5</v>
      </c>
    </row>
    <row r="116" spans="1:13" x14ac:dyDescent="0.35">
      <c r="A116" s="1" t="s">
        <v>85</v>
      </c>
      <c r="B116" s="12" t="s">
        <v>63</v>
      </c>
      <c r="C116" s="13" t="s">
        <v>77</v>
      </c>
      <c r="D116" s="10">
        <v>0</v>
      </c>
      <c r="E116" s="10">
        <v>720000</v>
      </c>
      <c r="F116" s="10">
        <v>0</v>
      </c>
      <c r="G116" s="10">
        <f t="shared" si="8"/>
        <v>0</v>
      </c>
      <c r="H116" s="10">
        <v>0</v>
      </c>
      <c r="I116" s="16">
        <f t="shared" si="13"/>
        <v>240000</v>
      </c>
      <c r="J116" s="16">
        <f t="shared" si="6"/>
        <v>-240000</v>
      </c>
      <c r="K116" s="11">
        <f t="shared" si="9"/>
        <v>0</v>
      </c>
      <c r="L116" s="14" t="str">
        <f t="shared" si="7"/>
        <v>Slow</v>
      </c>
      <c r="M116" s="15">
        <v>-0.5</v>
      </c>
    </row>
    <row r="117" spans="1:13" x14ac:dyDescent="0.35">
      <c r="A117" s="1" t="s">
        <v>85</v>
      </c>
      <c r="B117" s="12" t="s">
        <v>63</v>
      </c>
      <c r="C117" s="13" t="s">
        <v>78</v>
      </c>
      <c r="D117" s="10">
        <v>0</v>
      </c>
      <c r="E117" s="10">
        <v>2562000</v>
      </c>
      <c r="F117" s="10">
        <v>1921500</v>
      </c>
      <c r="G117" s="10">
        <f t="shared" si="8"/>
        <v>640500</v>
      </c>
      <c r="H117" s="10">
        <v>0</v>
      </c>
      <c r="I117" s="16">
        <f t="shared" ref="I117:I122" si="14">(F117/12)*4</f>
        <v>640500</v>
      </c>
      <c r="J117" s="16">
        <f t="shared" si="6"/>
        <v>-640500</v>
      </c>
      <c r="K117" s="11">
        <f t="shared" si="9"/>
        <v>0</v>
      </c>
      <c r="L117" s="14" t="str">
        <f t="shared" si="7"/>
        <v>Slow</v>
      </c>
      <c r="M117" s="11">
        <v>0.375</v>
      </c>
    </row>
    <row r="118" spans="1:13" x14ac:dyDescent="0.35">
      <c r="A118" s="1" t="s">
        <v>85</v>
      </c>
      <c r="B118" s="12" t="s">
        <v>63</v>
      </c>
      <c r="C118" s="13" t="s">
        <v>79</v>
      </c>
      <c r="D118" s="10">
        <v>0</v>
      </c>
      <c r="E118" s="10">
        <v>9119500</v>
      </c>
      <c r="F118" s="10">
        <v>12608700</v>
      </c>
      <c r="G118" s="10">
        <f t="shared" si="8"/>
        <v>4202900</v>
      </c>
      <c r="H118" s="10">
        <v>0</v>
      </c>
      <c r="I118" s="16">
        <f t="shared" si="14"/>
        <v>4202900</v>
      </c>
      <c r="J118" s="16">
        <f t="shared" si="6"/>
        <v>-4202900</v>
      </c>
      <c r="K118" s="11">
        <f t="shared" si="9"/>
        <v>0</v>
      </c>
      <c r="L118" s="14" t="str">
        <f t="shared" si="7"/>
        <v>Slow</v>
      </c>
      <c r="M118" s="11">
        <v>0.69130434782608696</v>
      </c>
    </row>
    <row r="119" spans="1:13" x14ac:dyDescent="0.35">
      <c r="A119" s="1" t="s">
        <v>85</v>
      </c>
      <c r="B119" s="12" t="s">
        <v>63</v>
      </c>
      <c r="C119" s="13" t="s">
        <v>80</v>
      </c>
      <c r="D119" s="10">
        <v>0</v>
      </c>
      <c r="E119" s="10">
        <v>16456500</v>
      </c>
      <c r="F119" s="10">
        <v>5724000</v>
      </c>
      <c r="G119" s="10">
        <f t="shared" si="8"/>
        <v>1908000</v>
      </c>
      <c r="H119" s="10">
        <v>0</v>
      </c>
      <c r="I119" s="16">
        <f t="shared" si="14"/>
        <v>1908000</v>
      </c>
      <c r="J119" s="16">
        <f t="shared" si="6"/>
        <v>-1908000</v>
      </c>
      <c r="K119" s="11">
        <f t="shared" si="9"/>
        <v>0</v>
      </c>
      <c r="L119" s="14" t="str">
        <f t="shared" si="7"/>
        <v>Slow</v>
      </c>
      <c r="M119" s="11">
        <v>0.17391304347826086</v>
      </c>
    </row>
    <row r="120" spans="1:13" x14ac:dyDescent="0.35">
      <c r="A120" s="1" t="s">
        <v>85</v>
      </c>
      <c r="B120" s="12" t="s">
        <v>63</v>
      </c>
      <c r="C120" s="13" t="s">
        <v>82</v>
      </c>
      <c r="D120" s="10">
        <v>0</v>
      </c>
      <c r="E120" s="10">
        <v>2154900</v>
      </c>
      <c r="F120" s="10">
        <v>1501900</v>
      </c>
      <c r="G120" s="10">
        <f t="shared" si="8"/>
        <v>500633.33333333337</v>
      </c>
      <c r="H120" s="10">
        <v>0</v>
      </c>
      <c r="I120" s="16">
        <f t="shared" si="14"/>
        <v>500633.33333333331</v>
      </c>
      <c r="J120" s="16">
        <f t="shared" si="6"/>
        <v>-500633.33333333331</v>
      </c>
      <c r="K120" s="11">
        <f t="shared" si="9"/>
        <v>0</v>
      </c>
      <c r="L120" s="14" t="str">
        <f t="shared" si="7"/>
        <v>Slow</v>
      </c>
      <c r="M120" s="11">
        <v>0.34848484848484851</v>
      </c>
    </row>
    <row r="121" spans="1:13" x14ac:dyDescent="0.35">
      <c r="A121" s="1" t="s">
        <v>85</v>
      </c>
      <c r="B121" s="12" t="s">
        <v>63</v>
      </c>
      <c r="C121" s="13" t="s">
        <v>83</v>
      </c>
      <c r="D121" s="10">
        <v>0</v>
      </c>
      <c r="E121" s="10">
        <v>92400</v>
      </c>
      <c r="F121" s="10">
        <v>92400</v>
      </c>
      <c r="G121" s="10">
        <f t="shared" si="8"/>
        <v>30800</v>
      </c>
      <c r="H121" s="10">
        <v>0</v>
      </c>
      <c r="I121" s="16">
        <f t="shared" si="14"/>
        <v>30800</v>
      </c>
      <c r="J121" s="16">
        <f t="shared" si="6"/>
        <v>-30800</v>
      </c>
      <c r="K121" s="11">
        <f t="shared" si="9"/>
        <v>0</v>
      </c>
      <c r="L121" s="14" t="str">
        <f t="shared" si="7"/>
        <v>Slow</v>
      </c>
      <c r="M121" s="11">
        <v>0.5</v>
      </c>
    </row>
    <row r="122" spans="1:13" x14ac:dyDescent="0.35">
      <c r="A122" s="1" t="s">
        <v>85</v>
      </c>
      <c r="B122" s="12" t="s">
        <v>63</v>
      </c>
      <c r="C122" s="13" t="s">
        <v>84</v>
      </c>
      <c r="D122" s="10">
        <v>0</v>
      </c>
      <c r="E122" s="10">
        <v>1570500</v>
      </c>
      <c r="F122" s="10">
        <v>453700</v>
      </c>
      <c r="G122" s="10">
        <f t="shared" si="8"/>
        <v>151233.33333333331</v>
      </c>
      <c r="H122" s="10">
        <v>0</v>
      </c>
      <c r="I122" s="16">
        <f t="shared" si="14"/>
        <v>151233.33333333334</v>
      </c>
      <c r="J122" s="16">
        <f t="shared" si="6"/>
        <v>-151233.33333333334</v>
      </c>
      <c r="K122" s="11">
        <f t="shared" si="9"/>
        <v>0</v>
      </c>
      <c r="L122" s="14" t="str">
        <f t="shared" si="7"/>
        <v>Slow</v>
      </c>
      <c r="M122" s="11">
        <v>0.14444444444444443</v>
      </c>
    </row>
    <row r="123" spans="1:13" x14ac:dyDescent="0.35">
      <c r="A123" s="1" t="s">
        <v>91</v>
      </c>
      <c r="B123" s="12" t="s">
        <v>13</v>
      </c>
      <c r="C123" s="13" t="s">
        <v>14</v>
      </c>
      <c r="D123" s="10">
        <v>0</v>
      </c>
      <c r="E123" s="10">
        <v>2592000</v>
      </c>
      <c r="F123" s="10">
        <v>4608000</v>
      </c>
      <c r="G123" s="16">
        <f t="shared" ref="G123:G186" si="15">(H123/8)*12</f>
        <v>0</v>
      </c>
      <c r="H123" s="10">
        <v>0</v>
      </c>
      <c r="I123" s="16">
        <f>(F123/12)*3</f>
        <v>1152000</v>
      </c>
      <c r="J123" s="16">
        <f t="shared" si="6"/>
        <v>-1152000</v>
      </c>
      <c r="K123" s="11">
        <f t="shared" si="9"/>
        <v>0</v>
      </c>
      <c r="L123" s="14" t="str">
        <f t="shared" si="7"/>
        <v>Slow</v>
      </c>
      <c r="M123" s="17">
        <v>-0.11111111111111116</v>
      </c>
    </row>
    <row r="124" spans="1:13" x14ac:dyDescent="0.35">
      <c r="A124" s="1" t="s">
        <v>91</v>
      </c>
      <c r="B124" s="8" t="s">
        <v>13</v>
      </c>
      <c r="C124" s="9" t="s">
        <v>25</v>
      </c>
      <c r="D124" s="10">
        <v>0</v>
      </c>
      <c r="E124" s="10">
        <v>6048000</v>
      </c>
      <c r="F124" s="10">
        <v>20088000</v>
      </c>
      <c r="G124" s="16">
        <f t="shared" si="15"/>
        <v>23868000</v>
      </c>
      <c r="H124" s="10">
        <v>15912000</v>
      </c>
      <c r="I124" s="16">
        <f t="shared" ref="I124:I140" si="16">F124*1.3</f>
        <v>26114400</v>
      </c>
      <c r="J124" s="16">
        <f t="shared" si="6"/>
        <v>-10202400</v>
      </c>
      <c r="K124" s="11">
        <f t="shared" si="9"/>
        <v>0.60931899641577059</v>
      </c>
      <c r="L124" s="1" t="str">
        <f t="shared" si="7"/>
        <v>Fast</v>
      </c>
      <c r="M124" s="18">
        <v>1.2548003072196621</v>
      </c>
    </row>
    <row r="125" spans="1:13" x14ac:dyDescent="0.35">
      <c r="A125" s="1" t="s">
        <v>91</v>
      </c>
      <c r="B125" s="12" t="s">
        <v>13</v>
      </c>
      <c r="C125" s="13" t="s">
        <v>33</v>
      </c>
      <c r="D125" s="10">
        <v>0</v>
      </c>
      <c r="E125" s="10">
        <v>5436000</v>
      </c>
      <c r="F125" s="10">
        <v>11448000</v>
      </c>
      <c r="G125" s="16">
        <f t="shared" si="15"/>
        <v>0</v>
      </c>
      <c r="H125" s="10">
        <v>0</v>
      </c>
      <c r="I125" s="16">
        <f t="shared" ref="I125" si="17">(F125/12)*3</f>
        <v>2862000</v>
      </c>
      <c r="J125" s="16">
        <f t="shared" si="6"/>
        <v>-2862000</v>
      </c>
      <c r="K125" s="11">
        <f t="shared" si="9"/>
        <v>0</v>
      </c>
      <c r="L125" s="14" t="str">
        <f t="shared" si="7"/>
        <v>Slow</v>
      </c>
      <c r="M125" s="18">
        <v>5.2980132450331174E-2</v>
      </c>
    </row>
    <row r="126" spans="1:13" x14ac:dyDescent="0.35">
      <c r="A126" s="1" t="s">
        <v>91</v>
      </c>
      <c r="B126" s="12" t="s">
        <v>37</v>
      </c>
      <c r="C126" s="13" t="s">
        <v>92</v>
      </c>
      <c r="D126" s="10">
        <v>0</v>
      </c>
      <c r="E126" s="10">
        <v>8215200</v>
      </c>
      <c r="F126" s="10">
        <v>0</v>
      </c>
      <c r="G126" s="16">
        <f t="shared" si="15"/>
        <v>0</v>
      </c>
      <c r="H126" s="10">
        <v>0</v>
      </c>
      <c r="I126" s="16">
        <f>(E126/12)*3</f>
        <v>2053800</v>
      </c>
      <c r="J126" s="16">
        <f t="shared" si="6"/>
        <v>-2053800</v>
      </c>
      <c r="K126" s="11">
        <f t="shared" si="9"/>
        <v>0</v>
      </c>
      <c r="L126" s="14" t="str">
        <f t="shared" si="7"/>
        <v>Slow</v>
      </c>
      <c r="M126" s="17">
        <v>-0.5</v>
      </c>
    </row>
    <row r="127" spans="1:13" x14ac:dyDescent="0.35">
      <c r="A127" s="1" t="s">
        <v>91</v>
      </c>
      <c r="B127" s="12" t="s">
        <v>37</v>
      </c>
      <c r="C127" s="13" t="s">
        <v>40</v>
      </c>
      <c r="D127" s="10">
        <v>0</v>
      </c>
      <c r="E127" s="10">
        <v>0</v>
      </c>
      <c r="F127" s="10">
        <v>39315600</v>
      </c>
      <c r="G127" s="16">
        <f t="shared" si="15"/>
        <v>18484200</v>
      </c>
      <c r="H127" s="10">
        <v>12322800</v>
      </c>
      <c r="I127" s="16">
        <f t="shared" si="16"/>
        <v>51110280</v>
      </c>
      <c r="J127" s="16">
        <f t="shared" si="6"/>
        <v>-38787480</v>
      </c>
      <c r="K127" s="11">
        <f t="shared" si="9"/>
        <v>0.24110218140068887</v>
      </c>
      <c r="L127" s="14" t="str">
        <f t="shared" si="7"/>
        <v>Slow</v>
      </c>
      <c r="M127" s="18">
        <v>0.23507462686567165</v>
      </c>
    </row>
    <row r="128" spans="1:13" x14ac:dyDescent="0.35">
      <c r="A128" s="1" t="s">
        <v>91</v>
      </c>
      <c r="B128" s="12" t="s">
        <v>37</v>
      </c>
      <c r="C128" s="13" t="s">
        <v>42</v>
      </c>
      <c r="D128" s="10">
        <v>0</v>
      </c>
      <c r="E128" s="10">
        <v>0</v>
      </c>
      <c r="F128" s="10">
        <v>35208000</v>
      </c>
      <c r="G128" s="16">
        <f t="shared" si="15"/>
        <v>19951200</v>
      </c>
      <c r="H128" s="10">
        <v>13300800</v>
      </c>
      <c r="I128" s="16">
        <f t="shared" si="16"/>
        <v>45770400</v>
      </c>
      <c r="J128" s="16">
        <f t="shared" si="6"/>
        <v>-32469600</v>
      </c>
      <c r="K128" s="11">
        <f t="shared" si="9"/>
        <v>0.29059829059829062</v>
      </c>
      <c r="L128" s="14" t="str">
        <f t="shared" si="7"/>
        <v>Slow</v>
      </c>
      <c r="M128" s="17">
        <v>-0.43333333333333335</v>
      </c>
    </row>
    <row r="129" spans="1:13" x14ac:dyDescent="0.35">
      <c r="A129" s="1" t="s">
        <v>91</v>
      </c>
      <c r="B129" s="12" t="s">
        <v>37</v>
      </c>
      <c r="C129" s="13" t="s">
        <v>46</v>
      </c>
      <c r="D129" s="10">
        <v>0</v>
      </c>
      <c r="E129" s="10">
        <v>5868000</v>
      </c>
      <c r="F129" s="10">
        <v>1173600</v>
      </c>
      <c r="G129" s="16">
        <f t="shared" si="15"/>
        <v>0</v>
      </c>
      <c r="H129" s="10">
        <v>0</v>
      </c>
      <c r="I129" s="16">
        <f t="shared" ref="I129" si="18">(F129/12)*3</f>
        <v>293400</v>
      </c>
      <c r="J129" s="16">
        <f t="shared" si="6"/>
        <v>-293400</v>
      </c>
      <c r="K129" s="11">
        <f t="shared" si="9"/>
        <v>0</v>
      </c>
      <c r="L129" s="14" t="str">
        <f t="shared" si="7"/>
        <v>Slow</v>
      </c>
      <c r="M129" s="17">
        <v>-0.9</v>
      </c>
    </row>
    <row r="130" spans="1:13" x14ac:dyDescent="0.35">
      <c r="A130" s="1" t="s">
        <v>91</v>
      </c>
      <c r="B130" s="12" t="s">
        <v>37</v>
      </c>
      <c r="C130" s="13" t="s">
        <v>48</v>
      </c>
      <c r="D130" s="10">
        <v>0</v>
      </c>
      <c r="E130" s="10">
        <v>8313000</v>
      </c>
      <c r="F130" s="10">
        <v>0</v>
      </c>
      <c r="G130" s="16">
        <f t="shared" si="15"/>
        <v>0</v>
      </c>
      <c r="H130" s="10">
        <v>0</v>
      </c>
      <c r="I130" s="16">
        <f>(E130/12)*3</f>
        <v>2078250</v>
      </c>
      <c r="J130" s="16">
        <f t="shared" si="6"/>
        <v>-2078250</v>
      </c>
      <c r="K130" s="11">
        <f t="shared" si="9"/>
        <v>0</v>
      </c>
      <c r="L130" s="14" t="str">
        <f t="shared" si="7"/>
        <v>Slow</v>
      </c>
      <c r="M130" s="17">
        <v>-0.5</v>
      </c>
    </row>
    <row r="131" spans="1:13" x14ac:dyDescent="0.35">
      <c r="A131" s="1" t="s">
        <v>91</v>
      </c>
      <c r="B131" s="8" t="s">
        <v>49</v>
      </c>
      <c r="C131" s="9" t="s">
        <v>50</v>
      </c>
      <c r="D131" s="10">
        <v>5414400</v>
      </c>
      <c r="E131" s="10">
        <v>10060200</v>
      </c>
      <c r="F131" s="10">
        <v>24564000</v>
      </c>
      <c r="G131" s="16">
        <f t="shared" si="15"/>
        <v>68616000</v>
      </c>
      <c r="H131" s="10">
        <v>45744000</v>
      </c>
      <c r="I131" s="16">
        <f t="shared" si="16"/>
        <v>31933200</v>
      </c>
      <c r="J131" s="16">
        <f t="shared" ref="J131:J194" si="19">H131-I131</f>
        <v>13810800</v>
      </c>
      <c r="K131" s="11">
        <f t="shared" si="9"/>
        <v>1.4324903235504114</v>
      </c>
      <c r="L131" s="1" t="str">
        <f t="shared" si="7"/>
        <v>Fast</v>
      </c>
      <c r="M131" s="18">
        <v>1.6175285455713906</v>
      </c>
    </row>
    <row r="132" spans="1:13" x14ac:dyDescent="0.35">
      <c r="A132" s="1" t="s">
        <v>91</v>
      </c>
      <c r="B132" s="8" t="s">
        <v>49</v>
      </c>
      <c r="C132" s="9" t="s">
        <v>61</v>
      </c>
      <c r="D132" s="10">
        <v>9336000</v>
      </c>
      <c r="E132" s="10">
        <v>36979200</v>
      </c>
      <c r="F132" s="10">
        <v>3186000</v>
      </c>
      <c r="G132" s="16">
        <f t="shared" si="15"/>
        <v>10360800</v>
      </c>
      <c r="H132" s="10">
        <v>6907200</v>
      </c>
      <c r="I132" s="16">
        <f t="shared" si="16"/>
        <v>4141800</v>
      </c>
      <c r="J132" s="16">
        <f t="shared" si="19"/>
        <v>2765400</v>
      </c>
      <c r="K132" s="11">
        <f t="shared" si="9"/>
        <v>1.6676807185281761</v>
      </c>
      <c r="L132" s="1" t="str">
        <f t="shared" ref="L132:L195" si="20">IF(AND(K132&gt;=50%)*M132&gt;0%,"Fast","Slow")</f>
        <v>Fast</v>
      </c>
      <c r="M132" s="18">
        <v>0.66906697159300921</v>
      </c>
    </row>
    <row r="133" spans="1:13" x14ac:dyDescent="0.35">
      <c r="A133" s="1" t="s">
        <v>91</v>
      </c>
      <c r="B133" s="12" t="s">
        <v>49</v>
      </c>
      <c r="C133" s="13" t="s">
        <v>62</v>
      </c>
      <c r="D133" s="10">
        <v>9504000</v>
      </c>
      <c r="E133" s="10">
        <v>16598400</v>
      </c>
      <c r="F133" s="10">
        <v>8824800</v>
      </c>
      <c r="G133" s="16">
        <f t="shared" si="15"/>
        <v>0</v>
      </c>
      <c r="H133" s="10">
        <v>0</v>
      </c>
      <c r="I133" s="16">
        <f>(F133/12)*3</f>
        <v>2206200</v>
      </c>
      <c r="J133" s="16">
        <f t="shared" si="19"/>
        <v>-2206200</v>
      </c>
      <c r="K133" s="11">
        <f t="shared" si="9"/>
        <v>0</v>
      </c>
      <c r="L133" s="14" t="str">
        <f t="shared" si="20"/>
        <v>Slow</v>
      </c>
      <c r="M133" s="17">
        <v>-0.73416714864083288</v>
      </c>
    </row>
    <row r="134" spans="1:13" x14ac:dyDescent="0.35">
      <c r="A134" s="1" t="s">
        <v>91</v>
      </c>
      <c r="B134" s="8" t="s">
        <v>63</v>
      </c>
      <c r="C134" s="9" t="s">
        <v>69</v>
      </c>
      <c r="D134" s="10">
        <v>0</v>
      </c>
      <c r="E134" s="10">
        <v>1915200</v>
      </c>
      <c r="F134" s="10">
        <v>1239000</v>
      </c>
      <c r="G134" s="16">
        <f t="shared" si="15"/>
        <v>3736800</v>
      </c>
      <c r="H134" s="10">
        <v>2491200</v>
      </c>
      <c r="I134" s="16">
        <f t="shared" si="16"/>
        <v>1610700</v>
      </c>
      <c r="J134" s="16">
        <f t="shared" si="19"/>
        <v>880500</v>
      </c>
      <c r="K134" s="11">
        <f t="shared" si="9"/>
        <v>1.546656733097411</v>
      </c>
      <c r="L134" s="1" t="str">
        <f t="shared" si="20"/>
        <v>Fast</v>
      </c>
      <c r="M134" s="18">
        <v>0.83145522705067754</v>
      </c>
    </row>
    <row r="135" spans="1:13" x14ac:dyDescent="0.35">
      <c r="A135" s="1" t="s">
        <v>91</v>
      </c>
      <c r="B135" s="12" t="s">
        <v>63</v>
      </c>
      <c r="C135" s="13" t="s">
        <v>74</v>
      </c>
      <c r="D135" s="10">
        <v>0</v>
      </c>
      <c r="E135" s="10">
        <v>2058000</v>
      </c>
      <c r="F135" s="10">
        <v>2884000</v>
      </c>
      <c r="G135" s="16">
        <f t="shared" si="15"/>
        <v>2268000</v>
      </c>
      <c r="H135" s="10">
        <v>1512000</v>
      </c>
      <c r="I135" s="16">
        <f t="shared" si="16"/>
        <v>3749200</v>
      </c>
      <c r="J135" s="16">
        <f t="shared" si="19"/>
        <v>-2237200</v>
      </c>
      <c r="K135" s="11">
        <f t="shared" si="9"/>
        <v>0.40328603435399552</v>
      </c>
      <c r="L135" s="14" t="str">
        <f t="shared" si="20"/>
        <v>Slow</v>
      </c>
      <c r="M135" s="18">
        <v>9.3884155603989161E-2</v>
      </c>
    </row>
    <row r="136" spans="1:13" x14ac:dyDescent="0.35">
      <c r="A136" s="1" t="s">
        <v>91</v>
      </c>
      <c r="B136" s="8" t="s">
        <v>63</v>
      </c>
      <c r="C136" s="9" t="s">
        <v>75</v>
      </c>
      <c r="D136" s="10">
        <v>0</v>
      </c>
      <c r="E136" s="10">
        <v>1411200</v>
      </c>
      <c r="F136" s="10">
        <v>1982400</v>
      </c>
      <c r="G136" s="16">
        <f t="shared" si="15"/>
        <v>2343600</v>
      </c>
      <c r="H136" s="10">
        <v>1562400</v>
      </c>
      <c r="I136" s="16">
        <f t="shared" si="16"/>
        <v>2577120</v>
      </c>
      <c r="J136" s="16">
        <f t="shared" si="19"/>
        <v>-1014720</v>
      </c>
      <c r="K136" s="11">
        <f t="shared" ref="K136:K199" si="21">H136/I136</f>
        <v>0.60625814863103</v>
      </c>
      <c r="L136" s="1" t="str">
        <f t="shared" si="20"/>
        <v>Fast</v>
      </c>
      <c r="M136" s="18">
        <v>0.29348264729620654</v>
      </c>
    </row>
    <row r="137" spans="1:13" x14ac:dyDescent="0.35">
      <c r="A137" s="1" t="s">
        <v>91</v>
      </c>
      <c r="B137" s="12" t="s">
        <v>63</v>
      </c>
      <c r="C137" s="13" t="s">
        <v>76</v>
      </c>
      <c r="D137" s="10">
        <v>0</v>
      </c>
      <c r="E137" s="10">
        <v>10440000</v>
      </c>
      <c r="F137" s="10">
        <v>5186400</v>
      </c>
      <c r="G137" s="16">
        <f t="shared" si="15"/>
        <v>0</v>
      </c>
      <c r="H137" s="10">
        <v>0</v>
      </c>
      <c r="I137" s="16">
        <f>(F137/12)*3</f>
        <v>1296600</v>
      </c>
      <c r="J137" s="16">
        <f t="shared" si="19"/>
        <v>-1296600</v>
      </c>
      <c r="K137" s="11">
        <f t="shared" si="21"/>
        <v>0</v>
      </c>
      <c r="L137" s="14" t="str">
        <f t="shared" si="20"/>
        <v>Slow</v>
      </c>
      <c r="M137" s="17">
        <v>-0.75160919540229887</v>
      </c>
    </row>
    <row r="138" spans="1:13" x14ac:dyDescent="0.35">
      <c r="A138" s="1" t="s">
        <v>91</v>
      </c>
      <c r="B138" s="8" t="s">
        <v>63</v>
      </c>
      <c r="C138" s="9" t="s">
        <v>79</v>
      </c>
      <c r="D138" s="10">
        <v>0</v>
      </c>
      <c r="E138" s="10">
        <v>4758000</v>
      </c>
      <c r="F138" s="10">
        <v>5791000</v>
      </c>
      <c r="G138" s="16">
        <f t="shared" si="15"/>
        <v>13227000</v>
      </c>
      <c r="H138" s="10">
        <v>8818000</v>
      </c>
      <c r="I138" s="16">
        <f t="shared" si="16"/>
        <v>7528300</v>
      </c>
      <c r="J138" s="16">
        <f t="shared" si="19"/>
        <v>1289700</v>
      </c>
      <c r="K138" s="11">
        <f t="shared" si="21"/>
        <v>1.17131357677032</v>
      </c>
      <c r="L138" s="1" t="str">
        <f t="shared" si="20"/>
        <v>Fast</v>
      </c>
      <c r="M138" s="18">
        <v>0.75058475164278127</v>
      </c>
    </row>
    <row r="139" spans="1:13" x14ac:dyDescent="0.35">
      <c r="A139" s="1" t="s">
        <v>91</v>
      </c>
      <c r="B139" s="12" t="s">
        <v>63</v>
      </c>
      <c r="C139" s="13" t="s">
        <v>80</v>
      </c>
      <c r="D139" s="10">
        <v>0</v>
      </c>
      <c r="E139" s="10">
        <v>10303200</v>
      </c>
      <c r="F139" s="10">
        <v>14433600</v>
      </c>
      <c r="G139" s="16">
        <f t="shared" si="15"/>
        <v>0</v>
      </c>
      <c r="H139" s="10">
        <v>0</v>
      </c>
      <c r="I139" s="16">
        <f>(F139/12)*3</f>
        <v>3608400</v>
      </c>
      <c r="J139" s="16">
        <f t="shared" si="19"/>
        <v>-3608400</v>
      </c>
      <c r="K139" s="11">
        <f t="shared" si="21"/>
        <v>0</v>
      </c>
      <c r="L139" s="14" t="str">
        <f t="shared" si="20"/>
        <v>Slow</v>
      </c>
      <c r="M139" s="17">
        <v>-0.29955741905427435</v>
      </c>
    </row>
    <row r="140" spans="1:13" x14ac:dyDescent="0.35">
      <c r="A140" s="1" t="s">
        <v>91</v>
      </c>
      <c r="B140" s="8" t="s">
        <v>63</v>
      </c>
      <c r="C140" s="9" t="s">
        <v>84</v>
      </c>
      <c r="D140" s="10">
        <v>0</v>
      </c>
      <c r="E140" s="10">
        <v>2094000</v>
      </c>
      <c r="F140" s="10">
        <v>2587000</v>
      </c>
      <c r="G140" s="16">
        <f t="shared" si="15"/>
        <v>5806500</v>
      </c>
      <c r="H140" s="10">
        <v>3871000</v>
      </c>
      <c r="I140" s="16">
        <f t="shared" si="16"/>
        <v>3363100</v>
      </c>
      <c r="J140" s="16">
        <f t="shared" si="19"/>
        <v>507900</v>
      </c>
      <c r="K140" s="11">
        <f t="shared" si="21"/>
        <v>1.151021379084773</v>
      </c>
      <c r="L140" s="1" t="str">
        <f t="shared" si="20"/>
        <v>Fast</v>
      </c>
      <c r="M140" s="18">
        <v>0.73996313209571485</v>
      </c>
    </row>
    <row r="141" spans="1:13" x14ac:dyDescent="0.35">
      <c r="A141" s="1" t="s">
        <v>93</v>
      </c>
      <c r="B141" s="8" t="s">
        <v>13</v>
      </c>
      <c r="C141" s="9" t="s">
        <v>14</v>
      </c>
      <c r="D141" s="10">
        <v>0</v>
      </c>
      <c r="E141" s="10">
        <v>0</v>
      </c>
      <c r="F141" s="10">
        <v>1040000</v>
      </c>
      <c r="G141" s="16">
        <f t="shared" si="15"/>
        <v>5272500</v>
      </c>
      <c r="H141" s="10">
        <v>3515000</v>
      </c>
      <c r="I141" s="16">
        <v>5272500</v>
      </c>
      <c r="J141" s="16">
        <f t="shared" si="19"/>
        <v>-1757500</v>
      </c>
      <c r="K141" s="11">
        <f t="shared" si="21"/>
        <v>0.66666666666666663</v>
      </c>
      <c r="L141" s="1" t="str">
        <f t="shared" si="20"/>
        <v>Fast</v>
      </c>
      <c r="M141" s="11">
        <v>4.0697115384615383</v>
      </c>
    </row>
    <row r="142" spans="1:13" x14ac:dyDescent="0.35">
      <c r="A142" s="1" t="s">
        <v>93</v>
      </c>
      <c r="B142" s="8" t="s">
        <v>13</v>
      </c>
      <c r="C142" s="9" t="s">
        <v>15</v>
      </c>
      <c r="D142" s="10">
        <v>0</v>
      </c>
      <c r="E142" s="10">
        <v>0</v>
      </c>
      <c r="F142" s="10">
        <v>707000</v>
      </c>
      <c r="G142" s="16">
        <f t="shared" si="15"/>
        <v>5026500</v>
      </c>
      <c r="H142" s="10">
        <v>3351000</v>
      </c>
      <c r="I142" s="16">
        <v>5026500</v>
      </c>
      <c r="J142" s="16">
        <f t="shared" si="19"/>
        <v>-1675500</v>
      </c>
      <c r="K142" s="11">
        <f t="shared" si="21"/>
        <v>0.66666666666666663</v>
      </c>
      <c r="L142" s="1" t="str">
        <f t="shared" si="20"/>
        <v>Fast</v>
      </c>
      <c r="M142" s="11">
        <v>6.1096181046676099</v>
      </c>
    </row>
    <row r="143" spans="1:13" x14ac:dyDescent="0.35">
      <c r="A143" s="1" t="s">
        <v>93</v>
      </c>
      <c r="B143" s="12" t="s">
        <v>13</v>
      </c>
      <c r="C143" s="13" t="s">
        <v>16</v>
      </c>
      <c r="D143" s="10">
        <v>0</v>
      </c>
      <c r="E143" s="10">
        <v>0</v>
      </c>
      <c r="F143" s="10">
        <v>13950000</v>
      </c>
      <c r="G143" s="16">
        <f t="shared" si="15"/>
        <v>0</v>
      </c>
      <c r="H143" s="10">
        <v>0</v>
      </c>
      <c r="I143" s="16">
        <v>18135000</v>
      </c>
      <c r="J143" s="16">
        <f t="shared" si="19"/>
        <v>-18135000</v>
      </c>
      <c r="K143" s="11">
        <f t="shared" si="21"/>
        <v>0</v>
      </c>
      <c r="L143" s="14" t="str">
        <f t="shared" si="20"/>
        <v>Slow</v>
      </c>
      <c r="M143" s="15">
        <v>-1</v>
      </c>
    </row>
    <row r="144" spans="1:13" x14ac:dyDescent="0.35">
      <c r="A144" s="1" t="s">
        <v>93</v>
      </c>
      <c r="B144" s="8" t="s">
        <v>13</v>
      </c>
      <c r="C144" s="9" t="s">
        <v>17</v>
      </c>
      <c r="D144" s="10">
        <v>0</v>
      </c>
      <c r="E144" s="10">
        <v>0</v>
      </c>
      <c r="F144" s="10">
        <v>980000</v>
      </c>
      <c r="G144" s="16">
        <f t="shared" si="15"/>
        <v>3858000</v>
      </c>
      <c r="H144" s="10">
        <v>2572000</v>
      </c>
      <c r="I144" s="16">
        <v>3858000</v>
      </c>
      <c r="J144" s="16">
        <f t="shared" si="19"/>
        <v>-1286000</v>
      </c>
      <c r="K144" s="11">
        <f t="shared" si="21"/>
        <v>0.66666666666666663</v>
      </c>
      <c r="L144" s="1" t="str">
        <f t="shared" si="20"/>
        <v>Fast</v>
      </c>
      <c r="M144" s="11">
        <v>2.9367346938775509</v>
      </c>
    </row>
    <row r="145" spans="1:13" x14ac:dyDescent="0.35">
      <c r="A145" s="1" t="s">
        <v>93</v>
      </c>
      <c r="B145" s="8" t="s">
        <v>13</v>
      </c>
      <c r="C145" s="9" t="s">
        <v>18</v>
      </c>
      <c r="D145" s="10">
        <v>0</v>
      </c>
      <c r="E145" s="10">
        <v>0</v>
      </c>
      <c r="F145" s="10">
        <v>11615000</v>
      </c>
      <c r="G145" s="16">
        <f t="shared" si="15"/>
        <v>15400500</v>
      </c>
      <c r="H145" s="10">
        <v>10267000</v>
      </c>
      <c r="I145" s="16">
        <v>15400500</v>
      </c>
      <c r="J145" s="16">
        <f t="shared" si="19"/>
        <v>-5133500</v>
      </c>
      <c r="K145" s="11">
        <f t="shared" si="21"/>
        <v>0.66666666666666663</v>
      </c>
      <c r="L145" s="1" t="str">
        <f t="shared" si="20"/>
        <v>Fast</v>
      </c>
      <c r="M145" s="11">
        <v>0.32591476538958242</v>
      </c>
    </row>
    <row r="146" spans="1:13" x14ac:dyDescent="0.35">
      <c r="A146" s="1" t="s">
        <v>93</v>
      </c>
      <c r="B146" s="8" t="s">
        <v>13</v>
      </c>
      <c r="C146" s="9" t="s">
        <v>19</v>
      </c>
      <c r="D146" s="10">
        <v>0</v>
      </c>
      <c r="E146" s="10">
        <v>0</v>
      </c>
      <c r="F146" s="10">
        <v>1100000</v>
      </c>
      <c r="G146" s="16">
        <f t="shared" si="15"/>
        <v>1558500</v>
      </c>
      <c r="H146" s="10">
        <v>1039000</v>
      </c>
      <c r="I146" s="16">
        <v>1558500</v>
      </c>
      <c r="J146" s="16">
        <f t="shared" si="19"/>
        <v>-519500</v>
      </c>
      <c r="K146" s="11">
        <f t="shared" si="21"/>
        <v>0.66666666666666663</v>
      </c>
      <c r="L146" s="1" t="str">
        <f t="shared" si="20"/>
        <v>Fast</v>
      </c>
      <c r="M146" s="11">
        <v>0.41681818181818175</v>
      </c>
    </row>
    <row r="147" spans="1:13" x14ac:dyDescent="0.35">
      <c r="A147" s="1" t="s">
        <v>93</v>
      </c>
      <c r="B147" s="8" t="s">
        <v>13</v>
      </c>
      <c r="C147" s="9" t="s">
        <v>86</v>
      </c>
      <c r="D147" s="10">
        <v>0</v>
      </c>
      <c r="E147" s="10">
        <v>0</v>
      </c>
      <c r="F147" s="10">
        <v>785000</v>
      </c>
      <c r="G147" s="16">
        <f t="shared" si="15"/>
        <v>2425500</v>
      </c>
      <c r="H147" s="10">
        <v>1617000</v>
      </c>
      <c r="I147" s="16">
        <v>2425500</v>
      </c>
      <c r="J147" s="16">
        <f t="shared" si="19"/>
        <v>-808500</v>
      </c>
      <c r="K147" s="11">
        <f t="shared" si="21"/>
        <v>0.66666666666666663</v>
      </c>
      <c r="L147" s="1" t="str">
        <f t="shared" si="20"/>
        <v>Fast</v>
      </c>
      <c r="M147" s="11">
        <v>2.0898089171974523</v>
      </c>
    </row>
    <row r="148" spans="1:13" x14ac:dyDescent="0.35">
      <c r="A148" s="1" t="s">
        <v>93</v>
      </c>
      <c r="B148" s="8" t="s">
        <v>13</v>
      </c>
      <c r="C148" s="9" t="s">
        <v>20</v>
      </c>
      <c r="D148" s="10">
        <v>0</v>
      </c>
      <c r="E148" s="10">
        <v>0</v>
      </c>
      <c r="F148" s="10">
        <v>1334000</v>
      </c>
      <c r="G148" s="16">
        <f t="shared" si="15"/>
        <v>3388500</v>
      </c>
      <c r="H148" s="10">
        <v>2259000</v>
      </c>
      <c r="I148" s="16">
        <v>3388500</v>
      </c>
      <c r="J148" s="16">
        <f t="shared" si="19"/>
        <v>-1129500</v>
      </c>
      <c r="K148" s="11">
        <f t="shared" si="21"/>
        <v>0.66666666666666663</v>
      </c>
      <c r="L148" s="1" t="str">
        <f t="shared" si="20"/>
        <v>Fast</v>
      </c>
      <c r="M148" s="11">
        <v>1.5401049475262369</v>
      </c>
    </row>
    <row r="149" spans="1:13" x14ac:dyDescent="0.35">
      <c r="A149" s="1" t="s">
        <v>93</v>
      </c>
      <c r="B149" s="8" t="s">
        <v>13</v>
      </c>
      <c r="C149" s="9" t="s">
        <v>21</v>
      </c>
      <c r="D149" s="10">
        <v>0</v>
      </c>
      <c r="E149" s="10">
        <v>0</v>
      </c>
      <c r="F149" s="10">
        <v>1262000</v>
      </c>
      <c r="G149" s="16">
        <f t="shared" si="15"/>
        <v>6105000</v>
      </c>
      <c r="H149" s="10">
        <v>4070000</v>
      </c>
      <c r="I149" s="16">
        <v>6105000</v>
      </c>
      <c r="J149" s="16">
        <f t="shared" si="19"/>
        <v>-2035000</v>
      </c>
      <c r="K149" s="11">
        <f t="shared" si="21"/>
        <v>0.66666666666666663</v>
      </c>
      <c r="L149" s="1" t="str">
        <f t="shared" si="20"/>
        <v>Fast</v>
      </c>
      <c r="M149" s="11">
        <v>3.8375594294770208</v>
      </c>
    </row>
    <row r="150" spans="1:13" x14ac:dyDescent="0.35">
      <c r="A150" s="1" t="s">
        <v>93</v>
      </c>
      <c r="B150" s="12" t="s">
        <v>13</v>
      </c>
      <c r="C150" s="13" t="s">
        <v>22</v>
      </c>
      <c r="D150" s="10">
        <v>0</v>
      </c>
      <c r="E150" s="10">
        <v>0</v>
      </c>
      <c r="F150" s="10">
        <v>1496000</v>
      </c>
      <c r="G150" s="16">
        <f t="shared" si="15"/>
        <v>0</v>
      </c>
      <c r="H150" s="10">
        <v>0</v>
      </c>
      <c r="I150" s="16">
        <v>1944800</v>
      </c>
      <c r="J150" s="16">
        <f t="shared" si="19"/>
        <v>-1944800</v>
      </c>
      <c r="K150" s="11">
        <f t="shared" si="21"/>
        <v>0</v>
      </c>
      <c r="L150" s="14" t="str">
        <f t="shared" si="20"/>
        <v>Slow</v>
      </c>
      <c r="M150" s="15">
        <v>-1</v>
      </c>
    </row>
    <row r="151" spans="1:13" x14ac:dyDescent="0.35">
      <c r="A151" s="1" t="s">
        <v>93</v>
      </c>
      <c r="B151" s="8" t="s">
        <v>13</v>
      </c>
      <c r="C151" s="9" t="s">
        <v>23</v>
      </c>
      <c r="D151" s="10">
        <v>0</v>
      </c>
      <c r="E151" s="10">
        <v>0</v>
      </c>
      <c r="F151" s="10">
        <v>1488000</v>
      </c>
      <c r="G151" s="16">
        <f t="shared" si="15"/>
        <v>7671000</v>
      </c>
      <c r="H151" s="10">
        <v>5114000</v>
      </c>
      <c r="I151" s="16">
        <v>7671000</v>
      </c>
      <c r="J151" s="16">
        <f t="shared" si="19"/>
        <v>-2557000</v>
      </c>
      <c r="K151" s="11">
        <f t="shared" si="21"/>
        <v>0.66666666666666663</v>
      </c>
      <c r="L151" s="1" t="str">
        <f t="shared" si="20"/>
        <v>Fast</v>
      </c>
      <c r="M151" s="11">
        <v>4.155241935483871</v>
      </c>
    </row>
    <row r="152" spans="1:13" x14ac:dyDescent="0.35">
      <c r="A152" s="1" t="s">
        <v>93</v>
      </c>
      <c r="B152" s="12" t="s">
        <v>13</v>
      </c>
      <c r="C152" s="13" t="s">
        <v>24</v>
      </c>
      <c r="D152" s="10">
        <v>0</v>
      </c>
      <c r="E152" s="10">
        <v>0</v>
      </c>
      <c r="F152" s="10">
        <v>2790000</v>
      </c>
      <c r="G152" s="16">
        <f t="shared" si="15"/>
        <v>0</v>
      </c>
      <c r="H152" s="10">
        <v>0</v>
      </c>
      <c r="I152" s="16">
        <v>3627000</v>
      </c>
      <c r="J152" s="16">
        <f t="shared" si="19"/>
        <v>-3627000</v>
      </c>
      <c r="K152" s="11">
        <f t="shared" si="21"/>
        <v>0</v>
      </c>
      <c r="L152" s="14" t="str">
        <f t="shared" si="20"/>
        <v>Slow</v>
      </c>
      <c r="M152" s="15">
        <v>-1</v>
      </c>
    </row>
    <row r="153" spans="1:13" x14ac:dyDescent="0.35">
      <c r="A153" s="1" t="s">
        <v>93</v>
      </c>
      <c r="B153" s="8" t="s">
        <v>13</v>
      </c>
      <c r="C153" s="9" t="s">
        <v>25</v>
      </c>
      <c r="D153" s="10">
        <v>0</v>
      </c>
      <c r="E153" s="10">
        <v>0</v>
      </c>
      <c r="F153" s="10">
        <v>3450000</v>
      </c>
      <c r="G153" s="16">
        <f t="shared" si="15"/>
        <v>11340000</v>
      </c>
      <c r="H153" s="10">
        <v>7560000</v>
      </c>
      <c r="I153" s="16">
        <v>11340000</v>
      </c>
      <c r="J153" s="16">
        <f t="shared" si="19"/>
        <v>-3780000</v>
      </c>
      <c r="K153" s="11">
        <f t="shared" si="21"/>
        <v>0.66666666666666663</v>
      </c>
      <c r="L153" s="1" t="str">
        <f t="shared" si="20"/>
        <v>Fast</v>
      </c>
      <c r="M153" s="11">
        <v>2.2869565217391306</v>
      </c>
    </row>
    <row r="154" spans="1:13" x14ac:dyDescent="0.35">
      <c r="A154" s="1" t="s">
        <v>93</v>
      </c>
      <c r="B154" s="12" t="s">
        <v>13</v>
      </c>
      <c r="C154" s="13" t="s">
        <v>26</v>
      </c>
      <c r="D154" s="10">
        <v>0</v>
      </c>
      <c r="E154" s="10">
        <v>0</v>
      </c>
      <c r="F154" s="10">
        <v>2790000</v>
      </c>
      <c r="G154" s="16">
        <f t="shared" si="15"/>
        <v>0</v>
      </c>
      <c r="H154" s="10">
        <v>0</v>
      </c>
      <c r="I154" s="16">
        <v>3627000</v>
      </c>
      <c r="J154" s="16">
        <f t="shared" si="19"/>
        <v>-3627000</v>
      </c>
      <c r="K154" s="11">
        <f t="shared" si="21"/>
        <v>0</v>
      </c>
      <c r="L154" s="14" t="str">
        <f t="shared" si="20"/>
        <v>Slow</v>
      </c>
      <c r="M154" s="15">
        <v>-1</v>
      </c>
    </row>
    <row r="155" spans="1:13" x14ac:dyDescent="0.35">
      <c r="A155" s="1" t="s">
        <v>93</v>
      </c>
      <c r="B155" s="8" t="s">
        <v>13</v>
      </c>
      <c r="C155" s="9" t="s">
        <v>27</v>
      </c>
      <c r="D155" s="10">
        <v>0</v>
      </c>
      <c r="E155" s="10">
        <v>0</v>
      </c>
      <c r="F155" s="10">
        <v>2142000</v>
      </c>
      <c r="G155" s="16">
        <f t="shared" si="15"/>
        <v>8283000</v>
      </c>
      <c r="H155" s="10">
        <v>5522000</v>
      </c>
      <c r="I155" s="16">
        <v>8283000</v>
      </c>
      <c r="J155" s="16">
        <f t="shared" si="19"/>
        <v>-2761000</v>
      </c>
      <c r="K155" s="11">
        <f t="shared" si="21"/>
        <v>0.66666666666666663</v>
      </c>
      <c r="L155" s="1" t="str">
        <f t="shared" si="20"/>
        <v>Fast</v>
      </c>
      <c r="M155" s="11">
        <v>2.8669467787114846</v>
      </c>
    </row>
    <row r="156" spans="1:13" x14ac:dyDescent="0.35">
      <c r="A156" s="1" t="s">
        <v>93</v>
      </c>
      <c r="B156" s="8" t="s">
        <v>13</v>
      </c>
      <c r="C156" s="9" t="s">
        <v>28</v>
      </c>
      <c r="D156" s="10">
        <v>0</v>
      </c>
      <c r="E156" s="10">
        <v>0</v>
      </c>
      <c r="F156" s="10">
        <v>12376000</v>
      </c>
      <c r="G156" s="16">
        <f t="shared" si="15"/>
        <v>13942500</v>
      </c>
      <c r="H156" s="10">
        <v>9295000</v>
      </c>
      <c r="I156" s="16">
        <v>16088800</v>
      </c>
      <c r="J156" s="16">
        <f t="shared" si="19"/>
        <v>-6793800</v>
      </c>
      <c r="K156" s="11">
        <f t="shared" si="21"/>
        <v>0.57773109243697474</v>
      </c>
      <c r="L156" s="1" t="str">
        <f t="shared" si="20"/>
        <v>Fast</v>
      </c>
      <c r="M156" s="11">
        <v>0.12657563025210083</v>
      </c>
    </row>
    <row r="157" spans="1:13" x14ac:dyDescent="0.35">
      <c r="A157" s="1" t="s">
        <v>93</v>
      </c>
      <c r="B157" s="8" t="s">
        <v>13</v>
      </c>
      <c r="C157" s="9" t="s">
        <v>29</v>
      </c>
      <c r="D157" s="10">
        <v>0</v>
      </c>
      <c r="E157" s="10">
        <v>0</v>
      </c>
      <c r="F157" s="10">
        <v>4650000</v>
      </c>
      <c r="G157" s="16">
        <f t="shared" si="15"/>
        <v>13680000</v>
      </c>
      <c r="H157" s="10">
        <v>9120000</v>
      </c>
      <c r="I157" s="16">
        <v>13680000</v>
      </c>
      <c r="J157" s="16">
        <f t="shared" si="19"/>
        <v>-4560000</v>
      </c>
      <c r="K157" s="11">
        <f t="shared" si="21"/>
        <v>0.66666666666666663</v>
      </c>
      <c r="L157" s="1" t="str">
        <f t="shared" si="20"/>
        <v>Fast</v>
      </c>
      <c r="M157" s="11">
        <v>1.9419354838709677</v>
      </c>
    </row>
    <row r="158" spans="1:13" x14ac:dyDescent="0.35">
      <c r="A158" s="1" t="s">
        <v>93</v>
      </c>
      <c r="B158" s="8" t="s">
        <v>13</v>
      </c>
      <c r="C158" s="9" t="s">
        <v>30</v>
      </c>
      <c r="D158" s="10">
        <v>0</v>
      </c>
      <c r="E158" s="10">
        <v>0</v>
      </c>
      <c r="F158" s="10">
        <v>67294000</v>
      </c>
      <c r="G158" s="16">
        <f t="shared" si="15"/>
        <v>114951000</v>
      </c>
      <c r="H158" s="10">
        <v>76634000</v>
      </c>
      <c r="I158" s="16">
        <v>114951000</v>
      </c>
      <c r="J158" s="16">
        <f t="shared" si="19"/>
        <v>-38317000</v>
      </c>
      <c r="K158" s="11">
        <f t="shared" si="21"/>
        <v>0.66666666666666663</v>
      </c>
      <c r="L158" s="1" t="str">
        <f t="shared" si="20"/>
        <v>Fast</v>
      </c>
      <c r="M158" s="11">
        <v>0.70819092341070533</v>
      </c>
    </row>
    <row r="159" spans="1:13" x14ac:dyDescent="0.35">
      <c r="A159" s="1" t="s">
        <v>93</v>
      </c>
      <c r="B159" s="8" t="s">
        <v>13</v>
      </c>
      <c r="C159" s="9" t="s">
        <v>31</v>
      </c>
      <c r="D159" s="10">
        <v>0</v>
      </c>
      <c r="E159" s="10">
        <v>0</v>
      </c>
      <c r="F159" s="10">
        <v>29774000</v>
      </c>
      <c r="G159" s="16">
        <f t="shared" si="15"/>
        <v>41190000</v>
      </c>
      <c r="H159" s="10">
        <v>27460000</v>
      </c>
      <c r="I159" s="16">
        <v>41190000</v>
      </c>
      <c r="J159" s="16">
        <f t="shared" si="19"/>
        <v>-13730000</v>
      </c>
      <c r="K159" s="11">
        <f t="shared" si="21"/>
        <v>0.66666666666666663</v>
      </c>
      <c r="L159" s="1" t="str">
        <f t="shared" si="20"/>
        <v>Fast</v>
      </c>
      <c r="M159" s="11">
        <v>0.38342177738966887</v>
      </c>
    </row>
    <row r="160" spans="1:13" x14ac:dyDescent="0.35">
      <c r="A160" s="1" t="s">
        <v>93</v>
      </c>
      <c r="B160" s="8" t="s">
        <v>13</v>
      </c>
      <c r="C160" s="9" t="s">
        <v>32</v>
      </c>
      <c r="D160" s="10">
        <v>0</v>
      </c>
      <c r="E160" s="10">
        <v>0</v>
      </c>
      <c r="F160" s="10">
        <v>2975000</v>
      </c>
      <c r="G160" s="16">
        <f t="shared" si="15"/>
        <v>8919000</v>
      </c>
      <c r="H160" s="10">
        <v>5946000</v>
      </c>
      <c r="I160" s="16">
        <v>8919000</v>
      </c>
      <c r="J160" s="16">
        <f t="shared" si="19"/>
        <v>-2973000</v>
      </c>
      <c r="K160" s="11">
        <f t="shared" si="21"/>
        <v>0.66666666666666663</v>
      </c>
      <c r="L160" s="1" t="str">
        <f t="shared" si="20"/>
        <v>Fast</v>
      </c>
      <c r="M160" s="11">
        <v>1.9979831932773111</v>
      </c>
    </row>
    <row r="161" spans="1:13" x14ac:dyDescent="0.35">
      <c r="A161" s="1" t="s">
        <v>93</v>
      </c>
      <c r="B161" s="8" t="s">
        <v>13</v>
      </c>
      <c r="C161" s="9" t="s">
        <v>33</v>
      </c>
      <c r="D161" s="10">
        <v>0</v>
      </c>
      <c r="E161" s="10">
        <v>0</v>
      </c>
      <c r="F161" s="10">
        <v>7776000</v>
      </c>
      <c r="G161" s="16">
        <f t="shared" si="15"/>
        <v>14346000</v>
      </c>
      <c r="H161" s="10">
        <v>9564000</v>
      </c>
      <c r="I161" s="16">
        <v>14346000</v>
      </c>
      <c r="J161" s="16">
        <f t="shared" si="19"/>
        <v>-4782000</v>
      </c>
      <c r="K161" s="11">
        <f t="shared" si="21"/>
        <v>0.66666666666666663</v>
      </c>
      <c r="L161" s="1" t="str">
        <f t="shared" si="20"/>
        <v>Fast</v>
      </c>
      <c r="M161" s="11">
        <v>0.84490740740740744</v>
      </c>
    </row>
    <row r="162" spans="1:13" x14ac:dyDescent="0.35">
      <c r="A162" s="1" t="s">
        <v>93</v>
      </c>
      <c r="B162" s="12" t="s">
        <v>13</v>
      </c>
      <c r="C162" s="13" t="s">
        <v>34</v>
      </c>
      <c r="D162" s="10">
        <v>0</v>
      </c>
      <c r="E162" s="10">
        <v>0</v>
      </c>
      <c r="F162" s="10">
        <v>1105000</v>
      </c>
      <c r="G162" s="16">
        <f t="shared" si="15"/>
        <v>501000</v>
      </c>
      <c r="H162" s="10">
        <v>334000</v>
      </c>
      <c r="I162" s="16">
        <v>1436500</v>
      </c>
      <c r="J162" s="16">
        <f t="shared" si="19"/>
        <v>-1102500</v>
      </c>
      <c r="K162" s="11">
        <f t="shared" si="21"/>
        <v>0.2325095718760877</v>
      </c>
      <c r="L162" s="14" t="str">
        <f t="shared" si="20"/>
        <v>Slow</v>
      </c>
      <c r="M162" s="15">
        <v>-0.54660633484162902</v>
      </c>
    </row>
    <row r="163" spans="1:13" x14ac:dyDescent="0.35">
      <c r="A163" s="1" t="s">
        <v>93</v>
      </c>
      <c r="B163" s="8" t="s">
        <v>13</v>
      </c>
      <c r="C163" s="9" t="s">
        <v>35</v>
      </c>
      <c r="D163" s="10">
        <v>0</v>
      </c>
      <c r="E163" s="10">
        <v>0</v>
      </c>
      <c r="F163" s="10">
        <v>9347000</v>
      </c>
      <c r="G163" s="16">
        <f t="shared" si="15"/>
        <v>14544000</v>
      </c>
      <c r="H163" s="10">
        <v>9696000</v>
      </c>
      <c r="I163" s="16">
        <v>14544000</v>
      </c>
      <c r="J163" s="16">
        <f t="shared" si="19"/>
        <v>-4848000</v>
      </c>
      <c r="K163" s="11">
        <f t="shared" si="21"/>
        <v>0.66666666666666663</v>
      </c>
      <c r="L163" s="1" t="str">
        <f t="shared" si="20"/>
        <v>Fast</v>
      </c>
      <c r="M163" s="11">
        <v>0.55600727506151704</v>
      </c>
    </row>
    <row r="164" spans="1:13" x14ac:dyDescent="0.35">
      <c r="A164" s="1" t="s">
        <v>93</v>
      </c>
      <c r="B164" s="12" t="s">
        <v>13</v>
      </c>
      <c r="C164" s="13" t="s">
        <v>36</v>
      </c>
      <c r="D164" s="10">
        <v>0</v>
      </c>
      <c r="E164" s="10">
        <v>0</v>
      </c>
      <c r="F164" s="10">
        <v>6180000</v>
      </c>
      <c r="G164" s="16">
        <f t="shared" si="15"/>
        <v>4620000</v>
      </c>
      <c r="H164" s="10">
        <v>3080000</v>
      </c>
      <c r="I164" s="16">
        <v>8034000</v>
      </c>
      <c r="J164" s="16">
        <f t="shared" si="19"/>
        <v>-4954000</v>
      </c>
      <c r="K164" s="11">
        <f t="shared" si="21"/>
        <v>0.38337067463281055</v>
      </c>
      <c r="L164" s="14" t="str">
        <f t="shared" si="20"/>
        <v>Slow</v>
      </c>
      <c r="M164" s="15">
        <v>-0.25242718446601942</v>
      </c>
    </row>
    <row r="165" spans="1:13" x14ac:dyDescent="0.35">
      <c r="A165" s="1" t="s">
        <v>93</v>
      </c>
      <c r="B165" s="8" t="s">
        <v>49</v>
      </c>
      <c r="C165" s="9" t="s">
        <v>50</v>
      </c>
      <c r="D165" s="10">
        <v>0</v>
      </c>
      <c r="E165" s="10">
        <v>0</v>
      </c>
      <c r="F165" s="10">
        <v>2234100</v>
      </c>
      <c r="G165" s="16">
        <f t="shared" si="15"/>
        <v>48358200</v>
      </c>
      <c r="H165" s="10">
        <v>32238800</v>
      </c>
      <c r="I165" s="16">
        <v>48358200</v>
      </c>
      <c r="J165" s="16">
        <f t="shared" si="19"/>
        <v>-16119400</v>
      </c>
      <c r="K165" s="11">
        <f t="shared" si="21"/>
        <v>0.66666666666666663</v>
      </c>
      <c r="L165" s="1" t="str">
        <f t="shared" si="20"/>
        <v>Fast</v>
      </c>
      <c r="M165" s="11">
        <v>20.64549483013294</v>
      </c>
    </row>
    <row r="166" spans="1:13" x14ac:dyDescent="0.35">
      <c r="A166" s="1" t="s">
        <v>93</v>
      </c>
      <c r="B166" s="8" t="s">
        <v>49</v>
      </c>
      <c r="C166" s="9" t="s">
        <v>51</v>
      </c>
      <c r="D166" s="10">
        <v>0</v>
      </c>
      <c r="E166" s="10">
        <v>0</v>
      </c>
      <c r="F166" s="10">
        <v>954500</v>
      </c>
      <c r="G166" s="16">
        <f t="shared" si="15"/>
        <v>4152900</v>
      </c>
      <c r="H166" s="10">
        <v>2768600</v>
      </c>
      <c r="I166" s="16">
        <v>4152900</v>
      </c>
      <c r="J166" s="16">
        <f t="shared" si="19"/>
        <v>-1384300</v>
      </c>
      <c r="K166" s="11">
        <f t="shared" si="21"/>
        <v>0.66666666666666663</v>
      </c>
      <c r="L166" s="1" t="str">
        <f t="shared" si="20"/>
        <v>Fast</v>
      </c>
      <c r="M166" s="11">
        <v>3.3508643268727081</v>
      </c>
    </row>
    <row r="167" spans="1:13" x14ac:dyDescent="0.35">
      <c r="A167" s="1" t="s">
        <v>93</v>
      </c>
      <c r="B167" s="12" t="s">
        <v>49</v>
      </c>
      <c r="C167" s="13" t="s">
        <v>94</v>
      </c>
      <c r="D167" s="10">
        <v>0</v>
      </c>
      <c r="E167" s="10">
        <v>0</v>
      </c>
      <c r="F167" s="10">
        <v>5272500</v>
      </c>
      <c r="G167" s="16">
        <f t="shared" si="15"/>
        <v>4745250</v>
      </c>
      <c r="H167" s="10">
        <v>3163500</v>
      </c>
      <c r="I167" s="16">
        <v>6854250</v>
      </c>
      <c r="J167" s="16">
        <f t="shared" si="19"/>
        <v>-3690750</v>
      </c>
      <c r="K167" s="11">
        <f t="shared" si="21"/>
        <v>0.46153846153846156</v>
      </c>
      <c r="L167" s="14" t="str">
        <f t="shared" si="20"/>
        <v>Slow</v>
      </c>
      <c r="M167" s="15">
        <v>-9.9999999999999978E-2</v>
      </c>
    </row>
    <row r="168" spans="1:13" x14ac:dyDescent="0.35">
      <c r="A168" s="1" t="s">
        <v>93</v>
      </c>
      <c r="B168" s="8" t="s">
        <v>49</v>
      </c>
      <c r="C168" s="9" t="s">
        <v>95</v>
      </c>
      <c r="D168" s="10">
        <v>0</v>
      </c>
      <c r="E168" s="10">
        <v>0</v>
      </c>
      <c r="F168" s="10"/>
      <c r="G168" s="16">
        <f t="shared" si="15"/>
        <v>3358500</v>
      </c>
      <c r="H168" s="10">
        <v>2239000</v>
      </c>
      <c r="I168" s="16">
        <v>3358500</v>
      </c>
      <c r="J168" s="16">
        <f t="shared" si="19"/>
        <v>-1119500</v>
      </c>
      <c r="K168" s="11">
        <f t="shared" si="21"/>
        <v>0.66666666666666663</v>
      </c>
      <c r="L168" s="1" t="str">
        <f t="shared" si="20"/>
        <v>Fast</v>
      </c>
      <c r="M168" s="11">
        <v>1</v>
      </c>
    </row>
    <row r="169" spans="1:13" x14ac:dyDescent="0.35">
      <c r="A169" s="1" t="s">
        <v>93</v>
      </c>
      <c r="B169" s="8" t="s">
        <v>49</v>
      </c>
      <c r="C169" s="9" t="s">
        <v>52</v>
      </c>
      <c r="D169" s="10">
        <v>0</v>
      </c>
      <c r="E169" s="10">
        <v>0</v>
      </c>
      <c r="F169" s="10">
        <v>12141200</v>
      </c>
      <c r="G169" s="16">
        <f t="shared" si="15"/>
        <v>41878350</v>
      </c>
      <c r="H169" s="10">
        <v>27918900</v>
      </c>
      <c r="I169" s="16">
        <v>41878350</v>
      </c>
      <c r="J169" s="16">
        <f t="shared" si="19"/>
        <v>-13959450</v>
      </c>
      <c r="K169" s="11">
        <f t="shared" si="21"/>
        <v>0.66666666666666663</v>
      </c>
      <c r="L169" s="1" t="str">
        <f t="shared" si="20"/>
        <v>Fast</v>
      </c>
      <c r="M169" s="11">
        <v>2.4492760188449245</v>
      </c>
    </row>
    <row r="170" spans="1:13" x14ac:dyDescent="0.35">
      <c r="A170" s="1" t="s">
        <v>93</v>
      </c>
      <c r="B170" s="8" t="s">
        <v>49</v>
      </c>
      <c r="C170" s="9" t="s">
        <v>53</v>
      </c>
      <c r="D170" s="10">
        <v>0</v>
      </c>
      <c r="E170" s="10">
        <v>0</v>
      </c>
      <c r="F170" s="10">
        <v>852800</v>
      </c>
      <c r="G170" s="16">
        <f t="shared" si="15"/>
        <v>2558400</v>
      </c>
      <c r="H170" s="10">
        <v>1705600</v>
      </c>
      <c r="I170" s="16">
        <v>2558400</v>
      </c>
      <c r="J170" s="16">
        <f t="shared" si="19"/>
        <v>-852800</v>
      </c>
      <c r="K170" s="11">
        <f t="shared" si="21"/>
        <v>0.66666666666666663</v>
      </c>
      <c r="L170" s="1" t="str">
        <f t="shared" si="20"/>
        <v>Fast</v>
      </c>
      <c r="M170" s="11">
        <v>2</v>
      </c>
    </row>
    <row r="171" spans="1:13" x14ac:dyDescent="0.35">
      <c r="A171" s="1" t="s">
        <v>93</v>
      </c>
      <c r="B171" s="8" t="s">
        <v>49</v>
      </c>
      <c r="C171" s="9" t="s">
        <v>54</v>
      </c>
      <c r="D171" s="10">
        <v>0</v>
      </c>
      <c r="E171" s="10">
        <v>0</v>
      </c>
      <c r="F171" s="10">
        <v>9017200</v>
      </c>
      <c r="G171" s="16">
        <f t="shared" si="15"/>
        <v>33031650</v>
      </c>
      <c r="H171" s="10">
        <v>22021100</v>
      </c>
      <c r="I171" s="16">
        <v>33031650</v>
      </c>
      <c r="J171" s="16">
        <f t="shared" si="19"/>
        <v>-11010550</v>
      </c>
      <c r="K171" s="11">
        <f t="shared" si="21"/>
        <v>0.66666666666666663</v>
      </c>
      <c r="L171" s="1" t="str">
        <f t="shared" si="20"/>
        <v>Fast</v>
      </c>
      <c r="M171" s="11">
        <v>2.6631825843942689</v>
      </c>
    </row>
    <row r="172" spans="1:13" x14ac:dyDescent="0.35">
      <c r="A172" s="1" t="s">
        <v>93</v>
      </c>
      <c r="B172" s="12" t="s">
        <v>49</v>
      </c>
      <c r="C172" s="13" t="s">
        <v>96</v>
      </c>
      <c r="D172" s="10">
        <v>0</v>
      </c>
      <c r="E172" s="10">
        <v>0</v>
      </c>
      <c r="F172" s="10">
        <v>4428900</v>
      </c>
      <c r="G172" s="16">
        <f t="shared" si="15"/>
        <v>0</v>
      </c>
      <c r="H172" s="10">
        <v>0</v>
      </c>
      <c r="I172" s="16">
        <v>5757570</v>
      </c>
      <c r="J172" s="16">
        <f t="shared" si="19"/>
        <v>-5757570</v>
      </c>
      <c r="K172" s="11">
        <f t="shared" si="21"/>
        <v>0</v>
      </c>
      <c r="L172" s="14" t="str">
        <f t="shared" si="20"/>
        <v>Slow</v>
      </c>
      <c r="M172" s="15">
        <v>-1</v>
      </c>
    </row>
    <row r="173" spans="1:13" x14ac:dyDescent="0.35">
      <c r="A173" s="1" t="s">
        <v>93</v>
      </c>
      <c r="B173" s="8" t="s">
        <v>49</v>
      </c>
      <c r="C173" s="9" t="s">
        <v>55</v>
      </c>
      <c r="D173" s="10">
        <v>0</v>
      </c>
      <c r="E173" s="10">
        <v>0</v>
      </c>
      <c r="F173" s="10">
        <v>25489600</v>
      </c>
      <c r="G173" s="16">
        <f t="shared" si="15"/>
        <v>260397000</v>
      </c>
      <c r="H173" s="10">
        <v>173598000</v>
      </c>
      <c r="I173" s="16">
        <v>260397000</v>
      </c>
      <c r="J173" s="16">
        <f t="shared" si="19"/>
        <v>-86799000</v>
      </c>
      <c r="K173" s="11">
        <f t="shared" si="21"/>
        <v>0.66666666666666663</v>
      </c>
      <c r="L173" s="1" t="str">
        <f t="shared" si="20"/>
        <v>Fast</v>
      </c>
      <c r="M173" s="11">
        <v>9.2158135082543478</v>
      </c>
    </row>
    <row r="174" spans="1:13" x14ac:dyDescent="0.35">
      <c r="A174" s="1" t="s">
        <v>93</v>
      </c>
      <c r="B174" s="8" t="s">
        <v>49</v>
      </c>
      <c r="C174" s="9" t="s">
        <v>97</v>
      </c>
      <c r="D174" s="10">
        <v>0</v>
      </c>
      <c r="E174" s="10">
        <v>0</v>
      </c>
      <c r="F174" s="10"/>
      <c r="G174" s="16">
        <f t="shared" si="15"/>
        <v>2020500</v>
      </c>
      <c r="H174" s="10">
        <v>1347000</v>
      </c>
      <c r="I174" s="16">
        <v>2020500</v>
      </c>
      <c r="J174" s="16">
        <f t="shared" si="19"/>
        <v>-673500</v>
      </c>
      <c r="K174" s="11">
        <f t="shared" si="21"/>
        <v>0.66666666666666663</v>
      </c>
      <c r="L174" s="1" t="str">
        <f t="shared" si="20"/>
        <v>Fast</v>
      </c>
      <c r="M174" s="11">
        <v>1</v>
      </c>
    </row>
    <row r="175" spans="1:13" x14ac:dyDescent="0.35">
      <c r="A175" s="1" t="s">
        <v>93</v>
      </c>
      <c r="B175" s="8" t="s">
        <v>49</v>
      </c>
      <c r="C175" s="9" t="s">
        <v>87</v>
      </c>
      <c r="D175" s="10">
        <v>0</v>
      </c>
      <c r="E175" s="10">
        <v>0</v>
      </c>
      <c r="F175" s="10">
        <v>1075200</v>
      </c>
      <c r="G175" s="16">
        <f t="shared" si="15"/>
        <v>6118350</v>
      </c>
      <c r="H175" s="10">
        <v>4078900</v>
      </c>
      <c r="I175" s="16">
        <v>6118350</v>
      </c>
      <c r="J175" s="16">
        <f t="shared" si="19"/>
        <v>-2039450</v>
      </c>
      <c r="K175" s="11">
        <f t="shared" si="21"/>
        <v>0.66666666666666663</v>
      </c>
      <c r="L175" s="1" t="str">
        <f t="shared" si="20"/>
        <v>Fast</v>
      </c>
      <c r="M175" s="11">
        <v>4.6904296875</v>
      </c>
    </row>
    <row r="176" spans="1:13" x14ac:dyDescent="0.35">
      <c r="A176" s="1" t="s">
        <v>93</v>
      </c>
      <c r="B176" s="12" t="s">
        <v>49</v>
      </c>
      <c r="C176" s="13" t="s">
        <v>57</v>
      </c>
      <c r="D176" s="10">
        <v>0</v>
      </c>
      <c r="E176" s="10">
        <v>0</v>
      </c>
      <c r="F176" s="10">
        <v>808200</v>
      </c>
      <c r="G176" s="16">
        <f t="shared" si="15"/>
        <v>0</v>
      </c>
      <c r="H176" s="10">
        <v>0</v>
      </c>
      <c r="I176" s="16">
        <v>1050660</v>
      </c>
      <c r="J176" s="16">
        <f t="shared" si="19"/>
        <v>-1050660</v>
      </c>
      <c r="K176" s="11">
        <f t="shared" si="21"/>
        <v>0</v>
      </c>
      <c r="L176" s="14" t="str">
        <f t="shared" si="20"/>
        <v>Slow</v>
      </c>
      <c r="M176" s="15">
        <v>-1</v>
      </c>
    </row>
    <row r="177" spans="1:13" x14ac:dyDescent="0.35">
      <c r="A177" s="1" t="s">
        <v>93</v>
      </c>
      <c r="B177" s="8" t="s">
        <v>49</v>
      </c>
      <c r="C177" s="9" t="s">
        <v>58</v>
      </c>
      <c r="D177" s="10">
        <v>0</v>
      </c>
      <c r="E177" s="10">
        <v>0</v>
      </c>
      <c r="F177" s="10">
        <v>3584000</v>
      </c>
      <c r="G177" s="16">
        <f t="shared" si="15"/>
        <v>5029500</v>
      </c>
      <c r="H177" s="10">
        <v>3353000</v>
      </c>
      <c r="I177" s="16">
        <v>5029500</v>
      </c>
      <c r="J177" s="16">
        <f t="shared" si="19"/>
        <v>-1676500</v>
      </c>
      <c r="K177" s="11">
        <f t="shared" si="21"/>
        <v>0.66666666666666663</v>
      </c>
      <c r="L177" s="1" t="str">
        <f t="shared" si="20"/>
        <v>Fast</v>
      </c>
      <c r="M177" s="11">
        <v>0.4033203125</v>
      </c>
    </row>
    <row r="178" spans="1:13" x14ac:dyDescent="0.35">
      <c r="A178" s="1" t="s">
        <v>93</v>
      </c>
      <c r="B178" s="8" t="s">
        <v>49</v>
      </c>
      <c r="C178" s="9" t="s">
        <v>59</v>
      </c>
      <c r="D178" s="10">
        <v>0</v>
      </c>
      <c r="E178" s="10">
        <v>0</v>
      </c>
      <c r="F178" s="10">
        <v>1612800</v>
      </c>
      <c r="G178" s="16">
        <f t="shared" si="15"/>
        <v>7690200</v>
      </c>
      <c r="H178" s="10">
        <v>5126800</v>
      </c>
      <c r="I178" s="16">
        <v>7690200</v>
      </c>
      <c r="J178" s="16">
        <f t="shared" si="19"/>
        <v>-2563400</v>
      </c>
      <c r="K178" s="11">
        <f t="shared" si="21"/>
        <v>0.66666666666666663</v>
      </c>
      <c r="L178" s="1" t="str">
        <f t="shared" si="20"/>
        <v>Fast</v>
      </c>
      <c r="M178" s="11">
        <v>3.768229166666667</v>
      </c>
    </row>
    <row r="179" spans="1:13" x14ac:dyDescent="0.35">
      <c r="A179" s="1" t="s">
        <v>93</v>
      </c>
      <c r="B179" s="8" t="s">
        <v>49</v>
      </c>
      <c r="C179" s="9" t="s">
        <v>60</v>
      </c>
      <c r="D179" s="10">
        <v>0</v>
      </c>
      <c r="E179" s="10">
        <v>0</v>
      </c>
      <c r="F179" s="10">
        <v>3630000</v>
      </c>
      <c r="G179" s="16">
        <f t="shared" si="15"/>
        <v>52109400</v>
      </c>
      <c r="H179" s="10">
        <v>34739600</v>
      </c>
      <c r="I179" s="16">
        <v>52109400</v>
      </c>
      <c r="J179" s="16">
        <f t="shared" si="19"/>
        <v>-17369800</v>
      </c>
      <c r="K179" s="11">
        <f t="shared" si="21"/>
        <v>0.66666666666666663</v>
      </c>
      <c r="L179" s="1" t="str">
        <f t="shared" si="20"/>
        <v>Fast</v>
      </c>
      <c r="M179" s="11">
        <v>13.355206611570248</v>
      </c>
    </row>
    <row r="180" spans="1:13" x14ac:dyDescent="0.35">
      <c r="A180" s="1" t="s">
        <v>93</v>
      </c>
      <c r="B180" s="8" t="s">
        <v>49</v>
      </c>
      <c r="C180" s="9" t="s">
        <v>98</v>
      </c>
      <c r="D180" s="10">
        <v>0</v>
      </c>
      <c r="E180" s="10">
        <v>0</v>
      </c>
      <c r="F180" s="10">
        <v>350400</v>
      </c>
      <c r="G180" s="16">
        <f t="shared" si="15"/>
        <v>1381500</v>
      </c>
      <c r="H180" s="10">
        <v>921000</v>
      </c>
      <c r="I180" s="16">
        <v>1381500</v>
      </c>
      <c r="J180" s="16">
        <f t="shared" si="19"/>
        <v>-460500</v>
      </c>
      <c r="K180" s="11">
        <f t="shared" si="21"/>
        <v>0.66666666666666663</v>
      </c>
      <c r="L180" s="1" t="str">
        <f t="shared" si="20"/>
        <v>Fast</v>
      </c>
      <c r="M180" s="11">
        <v>2.9426369863013697</v>
      </c>
    </row>
    <row r="181" spans="1:13" x14ac:dyDescent="0.35">
      <c r="A181" s="1" t="s">
        <v>93</v>
      </c>
      <c r="B181" s="8" t="s">
        <v>49</v>
      </c>
      <c r="C181" s="9" t="s">
        <v>61</v>
      </c>
      <c r="D181" s="10">
        <v>0</v>
      </c>
      <c r="E181" s="10">
        <v>0</v>
      </c>
      <c r="F181" s="10">
        <v>282900</v>
      </c>
      <c r="G181" s="16">
        <f t="shared" si="15"/>
        <v>2336700</v>
      </c>
      <c r="H181" s="10">
        <v>1557800</v>
      </c>
      <c r="I181" s="16">
        <v>2336700</v>
      </c>
      <c r="J181" s="16">
        <f t="shared" si="19"/>
        <v>-778900</v>
      </c>
      <c r="K181" s="11">
        <f t="shared" si="21"/>
        <v>0.66666666666666663</v>
      </c>
      <c r="L181" s="1" t="str">
        <f t="shared" si="20"/>
        <v>Fast</v>
      </c>
      <c r="M181" s="11">
        <v>7.2598091198303294</v>
      </c>
    </row>
    <row r="182" spans="1:13" x14ac:dyDescent="0.35">
      <c r="A182" s="1" t="s">
        <v>93</v>
      </c>
      <c r="B182" s="12" t="s">
        <v>49</v>
      </c>
      <c r="C182" s="13" t="s">
        <v>62</v>
      </c>
      <c r="D182" s="10">
        <v>0</v>
      </c>
      <c r="E182" s="10">
        <v>0</v>
      </c>
      <c r="F182" s="10">
        <v>320800</v>
      </c>
      <c r="G182" s="16">
        <f t="shared" si="15"/>
        <v>120300</v>
      </c>
      <c r="H182" s="10">
        <v>80200</v>
      </c>
      <c r="I182" s="16">
        <v>417040</v>
      </c>
      <c r="J182" s="16">
        <f t="shared" si="19"/>
        <v>-336840</v>
      </c>
      <c r="K182" s="11">
        <f t="shared" si="21"/>
        <v>0.19230769230769232</v>
      </c>
      <c r="L182" s="14" t="str">
        <f t="shared" si="20"/>
        <v>Slow</v>
      </c>
      <c r="M182" s="15">
        <v>-0.625</v>
      </c>
    </row>
    <row r="183" spans="1:13" x14ac:dyDescent="0.35">
      <c r="A183" s="1" t="s">
        <v>93</v>
      </c>
      <c r="B183" s="8" t="s">
        <v>63</v>
      </c>
      <c r="C183" s="9" t="s">
        <v>88</v>
      </c>
      <c r="D183" s="10">
        <v>0</v>
      </c>
      <c r="E183" s="10">
        <v>0</v>
      </c>
      <c r="F183" s="10">
        <v>49500</v>
      </c>
      <c r="G183" s="16">
        <f t="shared" si="15"/>
        <v>1816500</v>
      </c>
      <c r="H183" s="10">
        <v>1211000</v>
      </c>
      <c r="I183" s="16">
        <v>1816500</v>
      </c>
      <c r="J183" s="16">
        <f t="shared" si="19"/>
        <v>-605500</v>
      </c>
      <c r="K183" s="11">
        <f t="shared" si="21"/>
        <v>0.66666666666666663</v>
      </c>
      <c r="L183" s="1" t="str">
        <f t="shared" si="20"/>
        <v>Fast</v>
      </c>
      <c r="M183" s="11">
        <v>35.696969696969695</v>
      </c>
    </row>
    <row r="184" spans="1:13" x14ac:dyDescent="0.35">
      <c r="A184" s="1" t="s">
        <v>93</v>
      </c>
      <c r="B184" s="8" t="s">
        <v>63</v>
      </c>
      <c r="C184" s="9" t="s">
        <v>64</v>
      </c>
      <c r="D184" s="10">
        <v>0</v>
      </c>
      <c r="E184" s="10">
        <v>0</v>
      </c>
      <c r="F184" s="10">
        <v>735600</v>
      </c>
      <c r="G184" s="16">
        <f t="shared" si="15"/>
        <v>8222850</v>
      </c>
      <c r="H184" s="10">
        <v>5481900</v>
      </c>
      <c r="I184" s="16">
        <v>8222850</v>
      </c>
      <c r="J184" s="16">
        <f t="shared" si="19"/>
        <v>-2740950</v>
      </c>
      <c r="K184" s="11">
        <f t="shared" si="21"/>
        <v>0.66666666666666663</v>
      </c>
      <c r="L184" s="1" t="str">
        <f t="shared" si="20"/>
        <v>Fast</v>
      </c>
      <c r="M184" s="11">
        <v>10.178425774877651</v>
      </c>
    </row>
    <row r="185" spans="1:13" x14ac:dyDescent="0.35">
      <c r="A185" s="1" t="s">
        <v>93</v>
      </c>
      <c r="B185" s="8" t="s">
        <v>63</v>
      </c>
      <c r="C185" s="9" t="s">
        <v>89</v>
      </c>
      <c r="D185" s="10">
        <v>0</v>
      </c>
      <c r="E185" s="10">
        <v>0</v>
      </c>
      <c r="F185" s="10">
        <v>1224000</v>
      </c>
      <c r="G185" s="16">
        <f t="shared" si="15"/>
        <v>11323500</v>
      </c>
      <c r="H185" s="10">
        <v>7549000</v>
      </c>
      <c r="I185" s="16">
        <v>11323500</v>
      </c>
      <c r="J185" s="16">
        <f t="shared" si="19"/>
        <v>-3774500</v>
      </c>
      <c r="K185" s="11">
        <f t="shared" si="21"/>
        <v>0.66666666666666663</v>
      </c>
      <c r="L185" s="1" t="str">
        <f t="shared" si="20"/>
        <v>Fast</v>
      </c>
      <c r="M185" s="11">
        <v>8.2512254901960791</v>
      </c>
    </row>
    <row r="186" spans="1:13" x14ac:dyDescent="0.35">
      <c r="A186" s="1" t="s">
        <v>93</v>
      </c>
      <c r="B186" s="8" t="s">
        <v>63</v>
      </c>
      <c r="C186" s="9" t="s">
        <v>65</v>
      </c>
      <c r="D186" s="10">
        <v>0</v>
      </c>
      <c r="E186" s="10">
        <v>0</v>
      </c>
      <c r="F186" s="10"/>
      <c r="G186" s="16">
        <f t="shared" si="15"/>
        <v>2898000</v>
      </c>
      <c r="H186" s="10">
        <v>1932000</v>
      </c>
      <c r="I186" s="16">
        <v>2898000</v>
      </c>
      <c r="J186" s="16">
        <f t="shared" si="19"/>
        <v>-966000</v>
      </c>
      <c r="K186" s="11">
        <f t="shared" si="21"/>
        <v>0.66666666666666663</v>
      </c>
      <c r="L186" s="1" t="str">
        <f t="shared" si="20"/>
        <v>Fast</v>
      </c>
      <c r="M186" s="11">
        <v>1</v>
      </c>
    </row>
    <row r="187" spans="1:13" x14ac:dyDescent="0.35">
      <c r="A187" s="1" t="s">
        <v>93</v>
      </c>
      <c r="B187" s="12" t="s">
        <v>63</v>
      </c>
      <c r="C187" s="13" t="s">
        <v>66</v>
      </c>
      <c r="D187" s="10">
        <v>0</v>
      </c>
      <c r="E187" s="10">
        <v>0</v>
      </c>
      <c r="F187" s="10">
        <v>1224000</v>
      </c>
      <c r="G187" s="16">
        <f t="shared" ref="G187:G204" si="22">(H187/8)*12</f>
        <v>0</v>
      </c>
      <c r="H187" s="10">
        <v>0</v>
      </c>
      <c r="I187" s="16">
        <v>1591200</v>
      </c>
      <c r="J187" s="16">
        <f t="shared" si="19"/>
        <v>-1591200</v>
      </c>
      <c r="K187" s="11">
        <f t="shared" si="21"/>
        <v>0</v>
      </c>
      <c r="L187" s="14" t="str">
        <f t="shared" si="20"/>
        <v>Slow</v>
      </c>
      <c r="M187" s="15">
        <v>-1</v>
      </c>
    </row>
    <row r="188" spans="1:13" x14ac:dyDescent="0.35">
      <c r="A188" s="1" t="s">
        <v>93</v>
      </c>
      <c r="B188" s="12" t="s">
        <v>63</v>
      </c>
      <c r="C188" s="13" t="s">
        <v>69</v>
      </c>
      <c r="D188" s="10">
        <v>0</v>
      </c>
      <c r="E188" s="10">
        <v>0</v>
      </c>
      <c r="F188" s="10">
        <v>88200</v>
      </c>
      <c r="G188" s="16">
        <f t="shared" si="22"/>
        <v>0</v>
      </c>
      <c r="H188" s="10">
        <v>0</v>
      </c>
      <c r="I188" s="16">
        <v>114660</v>
      </c>
      <c r="J188" s="16">
        <f t="shared" si="19"/>
        <v>-114660</v>
      </c>
      <c r="K188" s="11">
        <f t="shared" si="21"/>
        <v>0</v>
      </c>
      <c r="L188" s="14" t="str">
        <f t="shared" si="20"/>
        <v>Slow</v>
      </c>
      <c r="M188" s="15">
        <v>-1</v>
      </c>
    </row>
    <row r="189" spans="1:13" x14ac:dyDescent="0.35">
      <c r="A189" s="1" t="s">
        <v>93</v>
      </c>
      <c r="B189" s="8" t="s">
        <v>63</v>
      </c>
      <c r="C189" s="9" t="s">
        <v>70</v>
      </c>
      <c r="D189" s="10">
        <v>0</v>
      </c>
      <c r="E189" s="10">
        <v>0</v>
      </c>
      <c r="F189" s="10">
        <v>25200</v>
      </c>
      <c r="G189" s="16">
        <f t="shared" si="22"/>
        <v>259500</v>
      </c>
      <c r="H189" s="10">
        <v>173000</v>
      </c>
      <c r="I189" s="16">
        <v>259500</v>
      </c>
      <c r="J189" s="16">
        <f t="shared" si="19"/>
        <v>-86500</v>
      </c>
      <c r="K189" s="11">
        <f t="shared" si="21"/>
        <v>0.66666666666666663</v>
      </c>
      <c r="L189" s="1" t="str">
        <f t="shared" si="20"/>
        <v>Fast</v>
      </c>
      <c r="M189" s="11">
        <v>9.2976190476190474</v>
      </c>
    </row>
    <row r="190" spans="1:13" x14ac:dyDescent="0.35">
      <c r="A190" s="1" t="s">
        <v>93</v>
      </c>
      <c r="B190" s="12" t="s">
        <v>63</v>
      </c>
      <c r="C190" s="13" t="s">
        <v>90</v>
      </c>
      <c r="D190" s="10">
        <v>0</v>
      </c>
      <c r="E190" s="10">
        <v>0</v>
      </c>
      <c r="F190" s="10">
        <v>68400</v>
      </c>
      <c r="G190" s="16">
        <f t="shared" si="22"/>
        <v>59850</v>
      </c>
      <c r="H190" s="10">
        <v>39900</v>
      </c>
      <c r="I190" s="16">
        <v>88920</v>
      </c>
      <c r="J190" s="16">
        <f t="shared" si="19"/>
        <v>-49020</v>
      </c>
      <c r="K190" s="11">
        <f t="shared" si="21"/>
        <v>0.44871794871794873</v>
      </c>
      <c r="L190" s="14" t="str">
        <f t="shared" si="20"/>
        <v>Slow</v>
      </c>
      <c r="M190" s="15">
        <v>-0.125</v>
      </c>
    </row>
    <row r="191" spans="1:13" x14ac:dyDescent="0.35">
      <c r="A191" s="1" t="s">
        <v>93</v>
      </c>
      <c r="B191" s="8" t="s">
        <v>63</v>
      </c>
      <c r="C191" s="9" t="s">
        <v>71</v>
      </c>
      <c r="D191" s="10">
        <v>0</v>
      </c>
      <c r="E191" s="10">
        <v>0</v>
      </c>
      <c r="F191" s="10">
        <v>205200</v>
      </c>
      <c r="G191" s="16">
        <f t="shared" si="22"/>
        <v>2513700</v>
      </c>
      <c r="H191" s="10">
        <v>1675800</v>
      </c>
      <c r="I191" s="16">
        <v>2513700</v>
      </c>
      <c r="J191" s="16">
        <f t="shared" si="19"/>
        <v>-837900</v>
      </c>
      <c r="K191" s="11">
        <f t="shared" si="21"/>
        <v>0.66666666666666663</v>
      </c>
      <c r="L191" s="1" t="str">
        <f t="shared" si="20"/>
        <v>Fast</v>
      </c>
      <c r="M191" s="11">
        <v>11.25</v>
      </c>
    </row>
    <row r="192" spans="1:13" x14ac:dyDescent="0.35">
      <c r="A192" s="1" t="s">
        <v>93</v>
      </c>
      <c r="B192" s="8" t="s">
        <v>63</v>
      </c>
      <c r="C192" s="9" t="s">
        <v>72</v>
      </c>
      <c r="D192" s="10">
        <v>0</v>
      </c>
      <c r="E192" s="10">
        <v>0</v>
      </c>
      <c r="F192" s="10">
        <v>981500</v>
      </c>
      <c r="G192" s="16">
        <f t="shared" si="22"/>
        <v>2509500</v>
      </c>
      <c r="H192" s="10">
        <v>1673000</v>
      </c>
      <c r="I192" s="16">
        <v>2509500</v>
      </c>
      <c r="J192" s="16">
        <f t="shared" si="19"/>
        <v>-836500</v>
      </c>
      <c r="K192" s="11">
        <f t="shared" si="21"/>
        <v>0.66666666666666663</v>
      </c>
      <c r="L192" s="1" t="str">
        <f t="shared" si="20"/>
        <v>Fast</v>
      </c>
      <c r="M192" s="11">
        <v>1.5568008150789607</v>
      </c>
    </row>
    <row r="193" spans="1:13" x14ac:dyDescent="0.35">
      <c r="A193" s="1" t="s">
        <v>93</v>
      </c>
      <c r="B193" s="8" t="s">
        <v>63</v>
      </c>
      <c r="C193" s="9" t="s">
        <v>73</v>
      </c>
      <c r="D193" s="10">
        <v>0</v>
      </c>
      <c r="E193" s="10">
        <v>0</v>
      </c>
      <c r="F193" s="10">
        <v>165600</v>
      </c>
      <c r="G193" s="16">
        <f t="shared" si="22"/>
        <v>919800</v>
      </c>
      <c r="H193" s="10">
        <v>613200</v>
      </c>
      <c r="I193" s="16">
        <v>919800</v>
      </c>
      <c r="J193" s="16">
        <f t="shared" si="19"/>
        <v>-306600</v>
      </c>
      <c r="K193" s="11">
        <f t="shared" si="21"/>
        <v>0.66666666666666663</v>
      </c>
      <c r="L193" s="1" t="str">
        <f t="shared" si="20"/>
        <v>Fast</v>
      </c>
      <c r="M193" s="11">
        <v>4.5543478260869561</v>
      </c>
    </row>
    <row r="194" spans="1:13" x14ac:dyDescent="0.35">
      <c r="A194" s="1" t="s">
        <v>93</v>
      </c>
      <c r="B194" s="8" t="s">
        <v>63</v>
      </c>
      <c r="C194" s="9" t="s">
        <v>74</v>
      </c>
      <c r="D194" s="10">
        <v>0</v>
      </c>
      <c r="E194" s="10">
        <v>0</v>
      </c>
      <c r="F194" s="10">
        <v>453600</v>
      </c>
      <c r="G194" s="16">
        <f t="shared" si="22"/>
        <v>1686300</v>
      </c>
      <c r="H194" s="10">
        <v>1124200</v>
      </c>
      <c r="I194" s="16">
        <v>1686300</v>
      </c>
      <c r="J194" s="16">
        <f t="shared" si="19"/>
        <v>-562100</v>
      </c>
      <c r="K194" s="11">
        <f t="shared" si="21"/>
        <v>0.66666666666666663</v>
      </c>
      <c r="L194" s="1" t="str">
        <f t="shared" si="20"/>
        <v>Fast</v>
      </c>
      <c r="M194" s="11">
        <v>2.7175925925925926</v>
      </c>
    </row>
    <row r="195" spans="1:13" x14ac:dyDescent="0.35">
      <c r="A195" s="1" t="s">
        <v>93</v>
      </c>
      <c r="B195" s="8" t="s">
        <v>63</v>
      </c>
      <c r="C195" s="9" t="s">
        <v>75</v>
      </c>
      <c r="D195" s="10">
        <v>0</v>
      </c>
      <c r="E195" s="10">
        <v>0</v>
      </c>
      <c r="F195" s="10">
        <v>173600</v>
      </c>
      <c r="G195" s="16">
        <f t="shared" si="22"/>
        <v>195300</v>
      </c>
      <c r="H195" s="10">
        <v>130200</v>
      </c>
      <c r="I195" s="16">
        <v>225680</v>
      </c>
      <c r="J195" s="16">
        <f t="shared" ref="J195:J244" si="23">H195-I195</f>
        <v>-95480</v>
      </c>
      <c r="K195" s="11">
        <f t="shared" si="21"/>
        <v>0.57692307692307687</v>
      </c>
      <c r="L195" s="1" t="str">
        <f t="shared" si="20"/>
        <v>Fast</v>
      </c>
      <c r="M195" s="11">
        <v>0.125</v>
      </c>
    </row>
    <row r="196" spans="1:13" x14ac:dyDescent="0.35">
      <c r="A196" s="1" t="s">
        <v>93</v>
      </c>
      <c r="B196" s="8" t="s">
        <v>63</v>
      </c>
      <c r="C196" s="9" t="s">
        <v>76</v>
      </c>
      <c r="D196" s="10">
        <v>0</v>
      </c>
      <c r="E196" s="10">
        <v>0</v>
      </c>
      <c r="F196" s="10">
        <v>264400</v>
      </c>
      <c r="G196" s="16">
        <f t="shared" si="22"/>
        <v>1215300</v>
      </c>
      <c r="H196" s="10">
        <v>810200</v>
      </c>
      <c r="I196" s="16">
        <v>1215300</v>
      </c>
      <c r="J196" s="16">
        <f t="shared" si="23"/>
        <v>-405100</v>
      </c>
      <c r="K196" s="11">
        <f t="shared" si="21"/>
        <v>0.66666666666666663</v>
      </c>
      <c r="L196" s="1" t="str">
        <f t="shared" ref="L196:L244" si="24">IF(AND(K196&gt;=50%)*M196&gt;0%,"Fast","Slow")</f>
        <v>Fast</v>
      </c>
      <c r="M196" s="11">
        <v>3.5964447806354007</v>
      </c>
    </row>
    <row r="197" spans="1:13" x14ac:dyDescent="0.35">
      <c r="A197" s="1" t="s">
        <v>93</v>
      </c>
      <c r="B197" s="8" t="s">
        <v>63</v>
      </c>
      <c r="C197" s="9" t="s">
        <v>77</v>
      </c>
      <c r="D197" s="10">
        <v>0</v>
      </c>
      <c r="E197" s="10">
        <v>0</v>
      </c>
      <c r="F197" s="10">
        <v>198300</v>
      </c>
      <c r="G197" s="16">
        <f t="shared" si="22"/>
        <v>1439100</v>
      </c>
      <c r="H197" s="10">
        <v>959400</v>
      </c>
      <c r="I197" s="16">
        <v>1439100</v>
      </c>
      <c r="J197" s="16">
        <f t="shared" si="23"/>
        <v>-479700</v>
      </c>
      <c r="K197" s="11">
        <f t="shared" si="21"/>
        <v>0.66666666666666663</v>
      </c>
      <c r="L197" s="1" t="str">
        <f t="shared" si="24"/>
        <v>Fast</v>
      </c>
      <c r="M197" s="11">
        <v>6.2571860816944023</v>
      </c>
    </row>
    <row r="198" spans="1:13" x14ac:dyDescent="0.35">
      <c r="A198" s="1" t="s">
        <v>93</v>
      </c>
      <c r="B198" s="8" t="s">
        <v>63</v>
      </c>
      <c r="C198" s="9" t="s">
        <v>78</v>
      </c>
      <c r="D198" s="10">
        <v>0</v>
      </c>
      <c r="E198" s="10">
        <v>0</v>
      </c>
      <c r="F198" s="10">
        <v>1409400</v>
      </c>
      <c r="G198" s="16">
        <f t="shared" si="22"/>
        <v>6574350</v>
      </c>
      <c r="H198" s="10">
        <v>4382900</v>
      </c>
      <c r="I198" s="16">
        <v>6574350</v>
      </c>
      <c r="J198" s="16">
        <f t="shared" si="23"/>
        <v>-2191450</v>
      </c>
      <c r="K198" s="11">
        <f t="shared" si="21"/>
        <v>0.66666666666666663</v>
      </c>
      <c r="L198" s="1" t="str">
        <f t="shared" si="24"/>
        <v>Fast</v>
      </c>
      <c r="M198" s="11">
        <v>3.6646445295870587</v>
      </c>
    </row>
    <row r="199" spans="1:13" x14ac:dyDescent="0.35">
      <c r="A199" s="1" t="s">
        <v>93</v>
      </c>
      <c r="B199" s="8" t="s">
        <v>63</v>
      </c>
      <c r="C199" s="9" t="s">
        <v>79</v>
      </c>
      <c r="D199" s="10">
        <v>0</v>
      </c>
      <c r="E199" s="10">
        <v>0</v>
      </c>
      <c r="F199" s="10">
        <v>1746000</v>
      </c>
      <c r="G199" s="16">
        <f t="shared" si="22"/>
        <v>11225250</v>
      </c>
      <c r="H199" s="10">
        <v>7483500</v>
      </c>
      <c r="I199" s="16">
        <v>11225250</v>
      </c>
      <c r="J199" s="16">
        <f t="shared" si="23"/>
        <v>-3741750</v>
      </c>
      <c r="K199" s="11">
        <f t="shared" si="21"/>
        <v>0.66666666666666663</v>
      </c>
      <c r="L199" s="1" t="str">
        <f t="shared" si="24"/>
        <v>Fast</v>
      </c>
      <c r="M199" s="11">
        <v>5.429123711340206</v>
      </c>
    </row>
    <row r="200" spans="1:13" x14ac:dyDescent="0.35">
      <c r="A200" s="1" t="s">
        <v>93</v>
      </c>
      <c r="B200" s="8" t="s">
        <v>63</v>
      </c>
      <c r="C200" s="9" t="s">
        <v>80</v>
      </c>
      <c r="D200" s="10">
        <v>0</v>
      </c>
      <c r="E200" s="10">
        <v>0</v>
      </c>
      <c r="F200" s="10">
        <v>4510500</v>
      </c>
      <c r="G200" s="16">
        <f t="shared" si="22"/>
        <v>28519200</v>
      </c>
      <c r="H200" s="10">
        <v>19012800</v>
      </c>
      <c r="I200" s="16">
        <v>28519200</v>
      </c>
      <c r="J200" s="16">
        <f t="shared" si="23"/>
        <v>-9506400</v>
      </c>
      <c r="K200" s="11">
        <f t="shared" ref="K200:K244" si="25">H200/I200</f>
        <v>0.66666666666666663</v>
      </c>
      <c r="L200" s="1" t="str">
        <f t="shared" si="24"/>
        <v>Fast</v>
      </c>
      <c r="M200" s="11">
        <v>5.3228466910542069</v>
      </c>
    </row>
    <row r="201" spans="1:13" x14ac:dyDescent="0.35">
      <c r="A201" s="1" t="s">
        <v>93</v>
      </c>
      <c r="B201" s="12" t="s">
        <v>63</v>
      </c>
      <c r="C201" s="13" t="s">
        <v>99</v>
      </c>
      <c r="D201" s="10">
        <v>0</v>
      </c>
      <c r="E201" s="10">
        <v>0</v>
      </c>
      <c r="F201" s="10">
        <v>386000</v>
      </c>
      <c r="G201" s="16">
        <f t="shared" si="22"/>
        <v>0</v>
      </c>
      <c r="H201" s="10">
        <v>0</v>
      </c>
      <c r="I201" s="16">
        <v>501800</v>
      </c>
      <c r="J201" s="16">
        <f t="shared" si="23"/>
        <v>-501800</v>
      </c>
      <c r="K201" s="11">
        <f t="shared" si="25"/>
        <v>0</v>
      </c>
      <c r="L201" s="14" t="str">
        <f t="shared" si="24"/>
        <v>Slow</v>
      </c>
      <c r="M201" s="15">
        <v>-1</v>
      </c>
    </row>
    <row r="202" spans="1:13" x14ac:dyDescent="0.35">
      <c r="A202" s="1" t="s">
        <v>93</v>
      </c>
      <c r="B202" s="12" t="s">
        <v>63</v>
      </c>
      <c r="C202" s="13" t="s">
        <v>100</v>
      </c>
      <c r="D202" s="10">
        <v>0</v>
      </c>
      <c r="E202" s="10">
        <v>0</v>
      </c>
      <c r="F202" s="10">
        <v>302000</v>
      </c>
      <c r="G202" s="16">
        <f t="shared" si="22"/>
        <v>0</v>
      </c>
      <c r="H202" s="10">
        <v>0</v>
      </c>
      <c r="I202" s="16">
        <v>392600</v>
      </c>
      <c r="J202" s="16">
        <f t="shared" si="23"/>
        <v>-392600</v>
      </c>
      <c r="K202" s="11">
        <f t="shared" si="25"/>
        <v>0</v>
      </c>
      <c r="L202" s="14" t="str">
        <f t="shared" si="24"/>
        <v>Slow</v>
      </c>
      <c r="M202" s="15">
        <v>-1</v>
      </c>
    </row>
    <row r="203" spans="1:13" x14ac:dyDescent="0.35">
      <c r="A203" s="1" t="s">
        <v>93</v>
      </c>
      <c r="B203" s="8" t="s">
        <v>63</v>
      </c>
      <c r="C203" s="9" t="s">
        <v>83</v>
      </c>
      <c r="D203" s="10">
        <v>0</v>
      </c>
      <c r="E203" s="10">
        <v>0</v>
      </c>
      <c r="F203" s="10">
        <v>119000</v>
      </c>
      <c r="G203" s="16">
        <f t="shared" si="22"/>
        <v>834900</v>
      </c>
      <c r="H203" s="10">
        <v>556600</v>
      </c>
      <c r="I203" s="16">
        <v>834900</v>
      </c>
      <c r="J203" s="16">
        <f t="shared" si="23"/>
        <v>-278300</v>
      </c>
      <c r="K203" s="11">
        <f t="shared" si="25"/>
        <v>0.66666666666666663</v>
      </c>
      <c r="L203" s="1" t="str">
        <f t="shared" si="24"/>
        <v>Fast</v>
      </c>
      <c r="M203" s="11">
        <v>6.0159663865546218</v>
      </c>
    </row>
    <row r="204" spans="1:13" x14ac:dyDescent="0.35">
      <c r="A204" s="1" t="s">
        <v>93</v>
      </c>
      <c r="B204" s="8" t="s">
        <v>63</v>
      </c>
      <c r="C204" s="9" t="s">
        <v>84</v>
      </c>
      <c r="D204" s="10">
        <v>0</v>
      </c>
      <c r="E204" s="10">
        <v>0</v>
      </c>
      <c r="F204" s="10">
        <v>269500</v>
      </c>
      <c r="G204" s="16">
        <f t="shared" si="22"/>
        <v>2513700</v>
      </c>
      <c r="H204" s="10">
        <v>1675800</v>
      </c>
      <c r="I204" s="16">
        <v>2513700</v>
      </c>
      <c r="J204" s="16">
        <f t="shared" si="23"/>
        <v>-837900</v>
      </c>
      <c r="K204" s="11">
        <f t="shared" si="25"/>
        <v>0.66666666666666663</v>
      </c>
      <c r="L204" s="1" t="str">
        <f t="shared" si="24"/>
        <v>Fast</v>
      </c>
      <c r="M204" s="11">
        <v>8.327272727272728</v>
      </c>
    </row>
    <row r="205" spans="1:13" x14ac:dyDescent="0.35">
      <c r="A205" s="1" t="s">
        <v>101</v>
      </c>
      <c r="B205" s="12" t="s">
        <v>13</v>
      </c>
      <c r="C205" s="13" t="s">
        <v>14</v>
      </c>
      <c r="D205" s="10">
        <v>72000</v>
      </c>
      <c r="E205" s="10">
        <v>0</v>
      </c>
      <c r="F205" s="10">
        <v>0</v>
      </c>
      <c r="G205" s="10">
        <f>(D205/12)*4</f>
        <v>24000</v>
      </c>
      <c r="H205" s="10">
        <v>0</v>
      </c>
      <c r="I205" s="16">
        <f t="shared" ref="I205:I215" si="26">((D205/12)*1.3)*4</f>
        <v>31200</v>
      </c>
      <c r="J205" s="16">
        <f t="shared" si="23"/>
        <v>-31200</v>
      </c>
      <c r="K205" s="11">
        <f t="shared" si="25"/>
        <v>0</v>
      </c>
      <c r="L205" s="14" t="str">
        <f t="shared" si="24"/>
        <v>Slow</v>
      </c>
      <c r="M205" s="15">
        <v>-1</v>
      </c>
    </row>
    <row r="206" spans="1:13" x14ac:dyDescent="0.35">
      <c r="A206" s="1" t="s">
        <v>101</v>
      </c>
      <c r="B206" s="12" t="s">
        <v>13</v>
      </c>
      <c r="C206" s="13" t="s">
        <v>15</v>
      </c>
      <c r="D206" s="10">
        <v>133000</v>
      </c>
      <c r="E206" s="10">
        <v>0</v>
      </c>
      <c r="F206" s="10">
        <v>0</v>
      </c>
      <c r="G206" s="10">
        <f t="shared" ref="G206:G215" si="27">(D206/12)*4</f>
        <v>44333.333333333336</v>
      </c>
      <c r="H206" s="10">
        <v>0</v>
      </c>
      <c r="I206" s="16">
        <f t="shared" si="26"/>
        <v>57633.333333333336</v>
      </c>
      <c r="J206" s="16">
        <f t="shared" si="23"/>
        <v>-57633.333333333336</v>
      </c>
      <c r="K206" s="11">
        <f t="shared" si="25"/>
        <v>0</v>
      </c>
      <c r="L206" s="14" t="str">
        <f t="shared" si="24"/>
        <v>Slow</v>
      </c>
      <c r="M206" s="15">
        <v>-1</v>
      </c>
    </row>
    <row r="207" spans="1:13" x14ac:dyDescent="0.35">
      <c r="A207" s="1" t="s">
        <v>101</v>
      </c>
      <c r="B207" s="12" t="s">
        <v>13</v>
      </c>
      <c r="C207" s="13" t="s">
        <v>19</v>
      </c>
      <c r="D207" s="10">
        <v>99000</v>
      </c>
      <c r="E207" s="10">
        <v>0</v>
      </c>
      <c r="F207" s="10">
        <v>0</v>
      </c>
      <c r="G207" s="10">
        <f t="shared" si="27"/>
        <v>33000</v>
      </c>
      <c r="H207" s="10">
        <v>0</v>
      </c>
      <c r="I207" s="16">
        <f t="shared" si="26"/>
        <v>42900</v>
      </c>
      <c r="J207" s="16">
        <f t="shared" si="23"/>
        <v>-42900</v>
      </c>
      <c r="K207" s="11">
        <f t="shared" si="25"/>
        <v>0</v>
      </c>
      <c r="L207" s="14" t="str">
        <f t="shared" si="24"/>
        <v>Slow</v>
      </c>
      <c r="M207" s="15">
        <v>-1</v>
      </c>
    </row>
    <row r="208" spans="1:13" x14ac:dyDescent="0.35">
      <c r="A208" s="1" t="s">
        <v>101</v>
      </c>
      <c r="B208" s="12" t="s">
        <v>13</v>
      </c>
      <c r="C208" s="13" t="s">
        <v>25</v>
      </c>
      <c r="D208" s="10">
        <v>672000</v>
      </c>
      <c r="E208" s="10">
        <v>0</v>
      </c>
      <c r="F208" s="10">
        <v>0</v>
      </c>
      <c r="G208" s="10">
        <f t="shared" si="27"/>
        <v>224000</v>
      </c>
      <c r="H208" s="10">
        <v>0</v>
      </c>
      <c r="I208" s="16">
        <f t="shared" si="26"/>
        <v>291200</v>
      </c>
      <c r="J208" s="16">
        <f t="shared" si="23"/>
        <v>-291200</v>
      </c>
      <c r="K208" s="11">
        <f t="shared" si="25"/>
        <v>0</v>
      </c>
      <c r="L208" s="14" t="str">
        <f t="shared" si="24"/>
        <v>Slow</v>
      </c>
      <c r="M208" s="15">
        <v>-1</v>
      </c>
    </row>
    <row r="209" spans="1:13" x14ac:dyDescent="0.35">
      <c r="A209" s="1" t="s">
        <v>101</v>
      </c>
      <c r="B209" s="12" t="s">
        <v>13</v>
      </c>
      <c r="C209" s="13" t="s">
        <v>27</v>
      </c>
      <c r="D209" s="10">
        <v>215000</v>
      </c>
      <c r="E209" s="10">
        <v>0</v>
      </c>
      <c r="F209" s="10">
        <v>0</v>
      </c>
      <c r="G209" s="10">
        <f t="shared" si="27"/>
        <v>71666.666666666672</v>
      </c>
      <c r="H209" s="10">
        <v>0</v>
      </c>
      <c r="I209" s="16">
        <f t="shared" si="26"/>
        <v>93166.666666666672</v>
      </c>
      <c r="J209" s="16">
        <f t="shared" si="23"/>
        <v>-93166.666666666672</v>
      </c>
      <c r="K209" s="11">
        <f t="shared" si="25"/>
        <v>0</v>
      </c>
      <c r="L209" s="14" t="str">
        <f t="shared" si="24"/>
        <v>Slow</v>
      </c>
      <c r="M209" s="15">
        <v>-1</v>
      </c>
    </row>
    <row r="210" spans="1:13" x14ac:dyDescent="0.35">
      <c r="A210" s="1" t="s">
        <v>101</v>
      </c>
      <c r="B210" s="12" t="s">
        <v>13</v>
      </c>
      <c r="C210" s="13" t="s">
        <v>30</v>
      </c>
      <c r="D210" s="10">
        <v>579000</v>
      </c>
      <c r="E210" s="10">
        <v>0</v>
      </c>
      <c r="F210" s="10">
        <v>0</v>
      </c>
      <c r="G210" s="10">
        <f t="shared" si="27"/>
        <v>193000</v>
      </c>
      <c r="H210" s="10">
        <v>0</v>
      </c>
      <c r="I210" s="16">
        <f t="shared" si="26"/>
        <v>250900</v>
      </c>
      <c r="J210" s="16">
        <f t="shared" si="23"/>
        <v>-250900</v>
      </c>
      <c r="K210" s="11">
        <f t="shared" si="25"/>
        <v>0</v>
      </c>
      <c r="L210" s="14" t="str">
        <f t="shared" si="24"/>
        <v>Slow</v>
      </c>
      <c r="M210" s="15">
        <v>-1</v>
      </c>
    </row>
    <row r="211" spans="1:13" x14ac:dyDescent="0.35">
      <c r="A211" s="1" t="s">
        <v>101</v>
      </c>
      <c r="B211" s="12" t="s">
        <v>13</v>
      </c>
      <c r="C211" s="13" t="s">
        <v>31</v>
      </c>
      <c r="D211" s="10">
        <v>254000</v>
      </c>
      <c r="E211" s="10">
        <v>0</v>
      </c>
      <c r="F211" s="10">
        <v>0</v>
      </c>
      <c r="G211" s="10">
        <f t="shared" si="27"/>
        <v>84666.666666666672</v>
      </c>
      <c r="H211" s="10">
        <v>0</v>
      </c>
      <c r="I211" s="16">
        <f t="shared" si="26"/>
        <v>110066.66666666667</v>
      </c>
      <c r="J211" s="16">
        <f t="shared" si="23"/>
        <v>-110066.66666666667</v>
      </c>
      <c r="K211" s="11">
        <f t="shared" si="25"/>
        <v>0</v>
      </c>
      <c r="L211" s="14" t="str">
        <f t="shared" si="24"/>
        <v>Slow</v>
      </c>
      <c r="M211" s="15">
        <v>-1</v>
      </c>
    </row>
    <row r="212" spans="1:13" x14ac:dyDescent="0.35">
      <c r="A212" s="1" t="s">
        <v>101</v>
      </c>
      <c r="B212" s="12" t="s">
        <v>13</v>
      </c>
      <c r="C212" s="13" t="s">
        <v>32</v>
      </c>
      <c r="D212" s="10">
        <v>193000</v>
      </c>
      <c r="E212" s="10">
        <v>0</v>
      </c>
      <c r="F212" s="10">
        <v>0</v>
      </c>
      <c r="G212" s="10">
        <f t="shared" si="27"/>
        <v>64333.333333333336</v>
      </c>
      <c r="H212" s="10">
        <v>0</v>
      </c>
      <c r="I212" s="16">
        <f t="shared" si="26"/>
        <v>83633.333333333343</v>
      </c>
      <c r="J212" s="16">
        <f t="shared" si="23"/>
        <v>-83633.333333333343</v>
      </c>
      <c r="K212" s="11">
        <f t="shared" si="25"/>
        <v>0</v>
      </c>
      <c r="L212" s="14" t="str">
        <f t="shared" si="24"/>
        <v>Slow</v>
      </c>
      <c r="M212" s="15">
        <v>-1</v>
      </c>
    </row>
    <row r="213" spans="1:13" x14ac:dyDescent="0.35">
      <c r="A213" s="1" t="s">
        <v>101</v>
      </c>
      <c r="B213" s="12" t="s">
        <v>49</v>
      </c>
      <c r="C213" s="13" t="s">
        <v>50</v>
      </c>
      <c r="D213" s="10">
        <v>75200</v>
      </c>
      <c r="E213" s="10">
        <v>0</v>
      </c>
      <c r="F213" s="10">
        <v>0</v>
      </c>
      <c r="G213" s="10">
        <f t="shared" si="27"/>
        <v>25066.666666666668</v>
      </c>
      <c r="H213" s="10">
        <v>0</v>
      </c>
      <c r="I213" s="16">
        <f t="shared" si="26"/>
        <v>32586.666666666668</v>
      </c>
      <c r="J213" s="16">
        <f t="shared" si="23"/>
        <v>-32586.666666666668</v>
      </c>
      <c r="K213" s="11">
        <f t="shared" si="25"/>
        <v>0</v>
      </c>
      <c r="L213" s="14" t="str">
        <f t="shared" si="24"/>
        <v>Slow</v>
      </c>
      <c r="M213" s="15">
        <v>-1</v>
      </c>
    </row>
    <row r="214" spans="1:13" x14ac:dyDescent="0.35">
      <c r="A214" s="1" t="s">
        <v>101</v>
      </c>
      <c r="B214" s="12" t="s">
        <v>63</v>
      </c>
      <c r="C214" s="13" t="s">
        <v>64</v>
      </c>
      <c r="D214" s="10">
        <v>151800</v>
      </c>
      <c r="E214" s="10">
        <v>0</v>
      </c>
      <c r="F214" s="10">
        <v>0</v>
      </c>
      <c r="G214" s="10">
        <f t="shared" si="27"/>
        <v>50600</v>
      </c>
      <c r="H214" s="10">
        <v>0</v>
      </c>
      <c r="I214" s="16">
        <f t="shared" si="26"/>
        <v>65780</v>
      </c>
      <c r="J214" s="16">
        <f t="shared" si="23"/>
        <v>-65780</v>
      </c>
      <c r="K214" s="11">
        <f t="shared" si="25"/>
        <v>0</v>
      </c>
      <c r="L214" s="14" t="str">
        <f t="shared" si="24"/>
        <v>Slow</v>
      </c>
      <c r="M214" s="15">
        <v>-1</v>
      </c>
    </row>
    <row r="215" spans="1:13" x14ac:dyDescent="0.35">
      <c r="A215" s="1" t="s">
        <v>101</v>
      </c>
      <c r="B215" s="12" t="s">
        <v>63</v>
      </c>
      <c r="C215" s="13" t="s">
        <v>78</v>
      </c>
      <c r="D215" s="10">
        <v>582000</v>
      </c>
      <c r="E215" s="10">
        <v>0</v>
      </c>
      <c r="F215" s="10">
        <v>0</v>
      </c>
      <c r="G215" s="10">
        <f t="shared" si="27"/>
        <v>194000</v>
      </c>
      <c r="H215" s="10">
        <v>0</v>
      </c>
      <c r="I215" s="16">
        <f t="shared" si="26"/>
        <v>252200</v>
      </c>
      <c r="J215" s="16">
        <f t="shared" si="23"/>
        <v>-252200</v>
      </c>
      <c r="K215" s="11">
        <f t="shared" si="25"/>
        <v>0</v>
      </c>
      <c r="L215" s="14" t="str">
        <f t="shared" si="24"/>
        <v>Slow</v>
      </c>
      <c r="M215" s="15">
        <v>-1</v>
      </c>
    </row>
    <row r="216" spans="1:13" x14ac:dyDescent="0.35">
      <c r="A216" s="1" t="s">
        <v>102</v>
      </c>
      <c r="B216" s="8" t="s">
        <v>13</v>
      </c>
      <c r="C216" s="9" t="s">
        <v>17</v>
      </c>
      <c r="D216" s="10">
        <v>0</v>
      </c>
      <c r="E216" s="10">
        <v>0</v>
      </c>
      <c r="F216" s="10">
        <v>0</v>
      </c>
      <c r="G216" s="10">
        <f>H216*1.4</f>
        <v>840000</v>
      </c>
      <c r="H216" s="10">
        <v>600000</v>
      </c>
      <c r="I216" s="16">
        <f t="shared" ref="I216:I244" si="28">(H216/8)*12</f>
        <v>900000</v>
      </c>
      <c r="J216" s="16">
        <f t="shared" si="23"/>
        <v>-300000</v>
      </c>
      <c r="K216" s="11">
        <f t="shared" si="25"/>
        <v>0.66666666666666663</v>
      </c>
      <c r="L216" s="1" t="str">
        <f t="shared" si="24"/>
        <v>Fast</v>
      </c>
      <c r="M216" s="11">
        <v>1</v>
      </c>
    </row>
    <row r="217" spans="1:13" x14ac:dyDescent="0.35">
      <c r="A217" s="1" t="s">
        <v>102</v>
      </c>
      <c r="B217" s="8" t="s">
        <v>13</v>
      </c>
      <c r="C217" s="9" t="s">
        <v>27</v>
      </c>
      <c r="D217" s="10">
        <v>0</v>
      </c>
      <c r="E217" s="10">
        <v>0</v>
      </c>
      <c r="F217" s="10">
        <v>0</v>
      </c>
      <c r="G217" s="10">
        <f t="shared" ref="G217:G242" si="29">H217*1.4</f>
        <v>1054200</v>
      </c>
      <c r="H217" s="10">
        <v>753000</v>
      </c>
      <c r="I217" s="16">
        <f t="shared" si="28"/>
        <v>1129500</v>
      </c>
      <c r="J217" s="16">
        <f t="shared" si="23"/>
        <v>-376500</v>
      </c>
      <c r="K217" s="11">
        <f t="shared" si="25"/>
        <v>0.66666666666666663</v>
      </c>
      <c r="L217" s="1" t="str">
        <f t="shared" si="24"/>
        <v>Fast</v>
      </c>
      <c r="M217" s="11">
        <v>1</v>
      </c>
    </row>
    <row r="218" spans="1:13" x14ac:dyDescent="0.35">
      <c r="A218" s="1" t="s">
        <v>102</v>
      </c>
      <c r="B218" s="8" t="s">
        <v>13</v>
      </c>
      <c r="C218" s="9" t="s">
        <v>29</v>
      </c>
      <c r="D218" s="10">
        <v>0</v>
      </c>
      <c r="E218" s="10">
        <v>0</v>
      </c>
      <c r="F218" s="10">
        <v>0</v>
      </c>
      <c r="G218" s="10">
        <f t="shared" si="29"/>
        <v>781200</v>
      </c>
      <c r="H218" s="10">
        <v>558000</v>
      </c>
      <c r="I218" s="16">
        <f t="shared" si="28"/>
        <v>837000</v>
      </c>
      <c r="J218" s="16">
        <f t="shared" si="23"/>
        <v>-279000</v>
      </c>
      <c r="K218" s="11">
        <f t="shared" si="25"/>
        <v>0.66666666666666663</v>
      </c>
      <c r="L218" s="1" t="str">
        <f t="shared" si="24"/>
        <v>Fast</v>
      </c>
      <c r="M218" s="11">
        <v>1</v>
      </c>
    </row>
    <row r="219" spans="1:13" x14ac:dyDescent="0.35">
      <c r="A219" s="1" t="s">
        <v>102</v>
      </c>
      <c r="B219" s="8" t="s">
        <v>13</v>
      </c>
      <c r="C219" s="9" t="s">
        <v>30</v>
      </c>
      <c r="D219" s="10">
        <v>0</v>
      </c>
      <c r="E219" s="10">
        <v>0</v>
      </c>
      <c r="F219" s="10">
        <v>0</v>
      </c>
      <c r="G219" s="10">
        <f t="shared" si="29"/>
        <v>1582000</v>
      </c>
      <c r="H219" s="10">
        <v>1130000</v>
      </c>
      <c r="I219" s="16">
        <f t="shared" si="28"/>
        <v>1695000</v>
      </c>
      <c r="J219" s="16">
        <f t="shared" si="23"/>
        <v>-565000</v>
      </c>
      <c r="K219" s="11">
        <f t="shared" si="25"/>
        <v>0.66666666666666663</v>
      </c>
      <c r="L219" s="1" t="str">
        <f t="shared" si="24"/>
        <v>Fast</v>
      </c>
      <c r="M219" s="11">
        <v>1</v>
      </c>
    </row>
    <row r="220" spans="1:13" x14ac:dyDescent="0.35">
      <c r="A220" s="1" t="s">
        <v>102</v>
      </c>
      <c r="B220" s="8" t="s">
        <v>13</v>
      </c>
      <c r="C220" s="9" t="s">
        <v>31</v>
      </c>
      <c r="D220" s="10">
        <v>0</v>
      </c>
      <c r="E220" s="10">
        <v>0</v>
      </c>
      <c r="F220" s="10">
        <v>0</v>
      </c>
      <c r="G220" s="10">
        <f t="shared" si="29"/>
        <v>1652000</v>
      </c>
      <c r="H220" s="10">
        <v>1180000</v>
      </c>
      <c r="I220" s="16">
        <f t="shared" si="28"/>
        <v>1770000</v>
      </c>
      <c r="J220" s="16">
        <f t="shared" si="23"/>
        <v>-590000</v>
      </c>
      <c r="K220" s="11">
        <f t="shared" si="25"/>
        <v>0.66666666666666663</v>
      </c>
      <c r="L220" s="1" t="str">
        <f t="shared" si="24"/>
        <v>Fast</v>
      </c>
      <c r="M220" s="11">
        <v>1</v>
      </c>
    </row>
    <row r="221" spans="1:13" x14ac:dyDescent="0.35">
      <c r="A221" s="1" t="s">
        <v>102</v>
      </c>
      <c r="B221" s="8" t="s">
        <v>13</v>
      </c>
      <c r="C221" s="9" t="s">
        <v>32</v>
      </c>
      <c r="D221" s="10">
        <v>0</v>
      </c>
      <c r="E221" s="10">
        <v>0</v>
      </c>
      <c r="F221" s="10">
        <v>0</v>
      </c>
      <c r="G221" s="10">
        <f t="shared" si="29"/>
        <v>632800</v>
      </c>
      <c r="H221" s="10">
        <v>452000</v>
      </c>
      <c r="I221" s="16">
        <f t="shared" si="28"/>
        <v>678000</v>
      </c>
      <c r="J221" s="16">
        <f t="shared" si="23"/>
        <v>-226000</v>
      </c>
      <c r="K221" s="11">
        <f t="shared" si="25"/>
        <v>0.66666666666666663</v>
      </c>
      <c r="L221" s="1" t="str">
        <f t="shared" si="24"/>
        <v>Fast</v>
      </c>
      <c r="M221" s="11">
        <v>1</v>
      </c>
    </row>
    <row r="222" spans="1:13" x14ac:dyDescent="0.35">
      <c r="A222" s="1" t="s">
        <v>102</v>
      </c>
      <c r="B222" s="8" t="s">
        <v>49</v>
      </c>
      <c r="C222" s="9" t="s">
        <v>50</v>
      </c>
      <c r="D222" s="10">
        <v>0</v>
      </c>
      <c r="E222" s="10">
        <v>0</v>
      </c>
      <c r="F222" s="10">
        <v>0</v>
      </c>
      <c r="G222" s="10">
        <f t="shared" si="29"/>
        <v>404880</v>
      </c>
      <c r="H222" s="10">
        <v>289200</v>
      </c>
      <c r="I222" s="16">
        <f t="shared" si="28"/>
        <v>433800</v>
      </c>
      <c r="J222" s="16">
        <f t="shared" si="23"/>
        <v>-144600</v>
      </c>
      <c r="K222" s="11">
        <f t="shared" si="25"/>
        <v>0.66666666666666663</v>
      </c>
      <c r="L222" s="1" t="str">
        <f t="shared" si="24"/>
        <v>Fast</v>
      </c>
      <c r="M222" s="11">
        <v>1</v>
      </c>
    </row>
    <row r="223" spans="1:13" x14ac:dyDescent="0.35">
      <c r="A223" s="1" t="s">
        <v>102</v>
      </c>
      <c r="B223" s="8" t="s">
        <v>49</v>
      </c>
      <c r="C223" s="9" t="s">
        <v>51</v>
      </c>
      <c r="D223" s="10">
        <v>0</v>
      </c>
      <c r="E223" s="10">
        <v>0</v>
      </c>
      <c r="F223" s="10">
        <v>0</v>
      </c>
      <c r="G223" s="10">
        <f t="shared" si="29"/>
        <v>842100</v>
      </c>
      <c r="H223" s="10">
        <v>601500</v>
      </c>
      <c r="I223" s="16">
        <f t="shared" si="28"/>
        <v>902250</v>
      </c>
      <c r="J223" s="16">
        <f t="shared" si="23"/>
        <v>-300750</v>
      </c>
      <c r="K223" s="11">
        <f t="shared" si="25"/>
        <v>0.66666666666666663</v>
      </c>
      <c r="L223" s="1" t="str">
        <f t="shared" si="24"/>
        <v>Fast</v>
      </c>
      <c r="M223" s="11">
        <v>1</v>
      </c>
    </row>
    <row r="224" spans="1:13" x14ac:dyDescent="0.35">
      <c r="A224" s="1" t="s">
        <v>102</v>
      </c>
      <c r="B224" s="8" t="s">
        <v>49</v>
      </c>
      <c r="C224" s="9" t="s">
        <v>103</v>
      </c>
      <c r="D224" s="10">
        <v>0</v>
      </c>
      <c r="E224" s="10">
        <v>0</v>
      </c>
      <c r="F224" s="10">
        <v>0</v>
      </c>
      <c r="G224" s="10">
        <f t="shared" si="29"/>
        <v>311640</v>
      </c>
      <c r="H224" s="10">
        <v>222600</v>
      </c>
      <c r="I224" s="16">
        <f t="shared" si="28"/>
        <v>333900</v>
      </c>
      <c r="J224" s="16">
        <f t="shared" si="23"/>
        <v>-111300</v>
      </c>
      <c r="K224" s="11">
        <f t="shared" si="25"/>
        <v>0.66666666666666663</v>
      </c>
      <c r="L224" s="1" t="str">
        <f t="shared" si="24"/>
        <v>Fast</v>
      </c>
      <c r="M224" s="11">
        <v>1</v>
      </c>
    </row>
    <row r="225" spans="1:13" x14ac:dyDescent="0.35">
      <c r="A225" s="1" t="s">
        <v>102</v>
      </c>
      <c r="B225" s="8" t="s">
        <v>49</v>
      </c>
      <c r="C225" s="9" t="s">
        <v>52</v>
      </c>
      <c r="D225" s="10">
        <v>0</v>
      </c>
      <c r="E225" s="10">
        <v>0</v>
      </c>
      <c r="F225" s="10">
        <v>0</v>
      </c>
      <c r="G225" s="10">
        <f t="shared" si="29"/>
        <v>3612000</v>
      </c>
      <c r="H225" s="10">
        <v>2580000</v>
      </c>
      <c r="I225" s="16">
        <f t="shared" si="28"/>
        <v>3870000</v>
      </c>
      <c r="J225" s="16">
        <f t="shared" si="23"/>
        <v>-1290000</v>
      </c>
      <c r="K225" s="11">
        <f t="shared" si="25"/>
        <v>0.66666666666666663</v>
      </c>
      <c r="L225" s="1" t="str">
        <f t="shared" si="24"/>
        <v>Fast</v>
      </c>
      <c r="M225" s="11">
        <v>1</v>
      </c>
    </row>
    <row r="226" spans="1:13" x14ac:dyDescent="0.35">
      <c r="A226" s="1" t="s">
        <v>102</v>
      </c>
      <c r="B226" s="8" t="s">
        <v>49</v>
      </c>
      <c r="C226" s="9" t="s">
        <v>53</v>
      </c>
      <c r="D226" s="10">
        <v>0</v>
      </c>
      <c r="E226" s="10">
        <v>0</v>
      </c>
      <c r="F226" s="10">
        <v>0</v>
      </c>
      <c r="G226" s="10">
        <f t="shared" si="29"/>
        <v>1567300</v>
      </c>
      <c r="H226" s="10">
        <v>1119500</v>
      </c>
      <c r="I226" s="16">
        <f t="shared" si="28"/>
        <v>1679250</v>
      </c>
      <c r="J226" s="16">
        <f t="shared" si="23"/>
        <v>-559750</v>
      </c>
      <c r="K226" s="11">
        <f t="shared" si="25"/>
        <v>0.66666666666666663</v>
      </c>
      <c r="L226" s="1" t="str">
        <f t="shared" si="24"/>
        <v>Fast</v>
      </c>
      <c r="M226" s="11">
        <v>1</v>
      </c>
    </row>
    <row r="227" spans="1:13" x14ac:dyDescent="0.35">
      <c r="A227" s="1" t="s">
        <v>102</v>
      </c>
      <c r="B227" s="8" t="s">
        <v>49</v>
      </c>
      <c r="C227" s="9" t="s">
        <v>54</v>
      </c>
      <c r="D227" s="10">
        <v>0</v>
      </c>
      <c r="E227" s="10">
        <v>0</v>
      </c>
      <c r="F227" s="10">
        <v>0</v>
      </c>
      <c r="G227" s="10">
        <f t="shared" si="29"/>
        <v>2167200</v>
      </c>
      <c r="H227" s="10">
        <v>1548000</v>
      </c>
      <c r="I227" s="16">
        <f t="shared" si="28"/>
        <v>2322000</v>
      </c>
      <c r="J227" s="16">
        <f t="shared" si="23"/>
        <v>-774000</v>
      </c>
      <c r="K227" s="11">
        <f t="shared" si="25"/>
        <v>0.66666666666666663</v>
      </c>
      <c r="L227" s="1" t="str">
        <f t="shared" si="24"/>
        <v>Fast</v>
      </c>
      <c r="M227" s="11">
        <v>1</v>
      </c>
    </row>
    <row r="228" spans="1:13" x14ac:dyDescent="0.35">
      <c r="A228" s="1" t="s">
        <v>102</v>
      </c>
      <c r="B228" s="8" t="s">
        <v>49</v>
      </c>
      <c r="C228" s="9" t="s">
        <v>55</v>
      </c>
      <c r="D228" s="10">
        <v>0</v>
      </c>
      <c r="E228" s="10">
        <v>0</v>
      </c>
      <c r="F228" s="10">
        <v>0</v>
      </c>
      <c r="G228" s="10">
        <f t="shared" si="29"/>
        <v>3612000</v>
      </c>
      <c r="H228" s="10">
        <v>2580000</v>
      </c>
      <c r="I228" s="16">
        <f t="shared" si="28"/>
        <v>3870000</v>
      </c>
      <c r="J228" s="16">
        <f t="shared" si="23"/>
        <v>-1290000</v>
      </c>
      <c r="K228" s="11">
        <f t="shared" si="25"/>
        <v>0.66666666666666663</v>
      </c>
      <c r="L228" s="1" t="str">
        <f t="shared" si="24"/>
        <v>Fast</v>
      </c>
      <c r="M228" s="11">
        <v>1</v>
      </c>
    </row>
    <row r="229" spans="1:13" x14ac:dyDescent="0.35">
      <c r="A229" s="1" t="s">
        <v>102</v>
      </c>
      <c r="B229" s="8" t="s">
        <v>49</v>
      </c>
      <c r="C229" s="9" t="s">
        <v>87</v>
      </c>
      <c r="D229" s="10">
        <v>0</v>
      </c>
      <c r="E229" s="10">
        <v>0</v>
      </c>
      <c r="F229" s="10">
        <v>0</v>
      </c>
      <c r="G229" s="10">
        <f t="shared" si="29"/>
        <v>2636200</v>
      </c>
      <c r="H229" s="10">
        <v>1883000</v>
      </c>
      <c r="I229" s="16">
        <f t="shared" si="28"/>
        <v>2824500</v>
      </c>
      <c r="J229" s="16">
        <f t="shared" si="23"/>
        <v>-941500</v>
      </c>
      <c r="K229" s="11">
        <f t="shared" si="25"/>
        <v>0.66666666666666663</v>
      </c>
      <c r="L229" s="1" t="str">
        <f t="shared" si="24"/>
        <v>Fast</v>
      </c>
      <c r="M229" s="11">
        <v>1</v>
      </c>
    </row>
    <row r="230" spans="1:13" x14ac:dyDescent="0.35">
      <c r="A230" s="1" t="s">
        <v>102</v>
      </c>
      <c r="B230" s="8" t="s">
        <v>49</v>
      </c>
      <c r="C230" s="9" t="s">
        <v>57</v>
      </c>
      <c r="D230" s="10">
        <v>0</v>
      </c>
      <c r="E230" s="10">
        <v>0</v>
      </c>
      <c r="F230" s="10">
        <v>0</v>
      </c>
      <c r="G230" s="10">
        <f t="shared" si="29"/>
        <v>1980999.9999999998</v>
      </c>
      <c r="H230" s="10">
        <v>1415000</v>
      </c>
      <c r="I230" s="16">
        <f t="shared" si="28"/>
        <v>2122500</v>
      </c>
      <c r="J230" s="16">
        <f t="shared" si="23"/>
        <v>-707500</v>
      </c>
      <c r="K230" s="11">
        <f t="shared" si="25"/>
        <v>0.66666666666666663</v>
      </c>
      <c r="L230" s="1" t="str">
        <f t="shared" si="24"/>
        <v>Fast</v>
      </c>
      <c r="M230" s="11">
        <v>1</v>
      </c>
    </row>
    <row r="231" spans="1:13" x14ac:dyDescent="0.35">
      <c r="A231" s="1" t="s">
        <v>102</v>
      </c>
      <c r="B231" s="8" t="s">
        <v>49</v>
      </c>
      <c r="C231" s="9" t="s">
        <v>58</v>
      </c>
      <c r="D231" s="10">
        <v>0</v>
      </c>
      <c r="E231" s="10">
        <v>0</v>
      </c>
      <c r="F231" s="10">
        <v>0</v>
      </c>
      <c r="G231" s="10">
        <f t="shared" si="29"/>
        <v>1318100</v>
      </c>
      <c r="H231" s="10">
        <v>941500</v>
      </c>
      <c r="I231" s="16">
        <f t="shared" si="28"/>
        <v>1412250</v>
      </c>
      <c r="J231" s="16">
        <f t="shared" si="23"/>
        <v>-470750</v>
      </c>
      <c r="K231" s="11">
        <f t="shared" si="25"/>
        <v>0.66666666666666663</v>
      </c>
      <c r="L231" s="1" t="str">
        <f t="shared" si="24"/>
        <v>Fast</v>
      </c>
      <c r="M231" s="11">
        <v>1</v>
      </c>
    </row>
    <row r="232" spans="1:13" x14ac:dyDescent="0.35">
      <c r="A232" s="1" t="s">
        <v>102</v>
      </c>
      <c r="B232" s="8" t="s">
        <v>49</v>
      </c>
      <c r="C232" s="9" t="s">
        <v>59</v>
      </c>
      <c r="D232" s="10">
        <v>0</v>
      </c>
      <c r="E232" s="10">
        <v>0</v>
      </c>
      <c r="F232" s="10">
        <v>0</v>
      </c>
      <c r="G232" s="10">
        <f t="shared" si="29"/>
        <v>2636200</v>
      </c>
      <c r="H232" s="10">
        <v>1883000</v>
      </c>
      <c r="I232" s="16">
        <f t="shared" si="28"/>
        <v>2824500</v>
      </c>
      <c r="J232" s="16">
        <f t="shared" si="23"/>
        <v>-941500</v>
      </c>
      <c r="K232" s="11">
        <f t="shared" si="25"/>
        <v>0.66666666666666663</v>
      </c>
      <c r="L232" s="1" t="str">
        <f t="shared" si="24"/>
        <v>Fast</v>
      </c>
      <c r="M232" s="11">
        <v>1</v>
      </c>
    </row>
    <row r="233" spans="1:13" x14ac:dyDescent="0.35">
      <c r="A233" s="1" t="s">
        <v>102</v>
      </c>
      <c r="B233" s="8" t="s">
        <v>49</v>
      </c>
      <c r="C233" s="9" t="s">
        <v>60</v>
      </c>
      <c r="D233" s="10">
        <v>0</v>
      </c>
      <c r="E233" s="10">
        <v>0</v>
      </c>
      <c r="F233" s="10">
        <v>0</v>
      </c>
      <c r="G233" s="10">
        <f t="shared" si="29"/>
        <v>3210480</v>
      </c>
      <c r="H233" s="10">
        <v>2293200</v>
      </c>
      <c r="I233" s="16">
        <f t="shared" si="28"/>
        <v>3439800</v>
      </c>
      <c r="J233" s="16">
        <f t="shared" si="23"/>
        <v>-1146600</v>
      </c>
      <c r="K233" s="11">
        <f t="shared" si="25"/>
        <v>0.66666666666666663</v>
      </c>
      <c r="L233" s="1" t="str">
        <f t="shared" si="24"/>
        <v>Fast</v>
      </c>
      <c r="M233" s="11">
        <v>1</v>
      </c>
    </row>
    <row r="234" spans="1:13" x14ac:dyDescent="0.35">
      <c r="A234" s="1" t="s">
        <v>102</v>
      </c>
      <c r="B234" s="8" t="s">
        <v>49</v>
      </c>
      <c r="C234" s="9" t="s">
        <v>98</v>
      </c>
      <c r="D234" s="10">
        <v>0</v>
      </c>
      <c r="E234" s="10">
        <v>0</v>
      </c>
      <c r="F234" s="10">
        <v>0</v>
      </c>
      <c r="G234" s="10">
        <f t="shared" si="29"/>
        <v>1547280</v>
      </c>
      <c r="H234" s="10">
        <v>1105200</v>
      </c>
      <c r="I234" s="16">
        <f t="shared" si="28"/>
        <v>1657800</v>
      </c>
      <c r="J234" s="16">
        <f t="shared" si="23"/>
        <v>-552600</v>
      </c>
      <c r="K234" s="11">
        <f t="shared" si="25"/>
        <v>0.66666666666666663</v>
      </c>
      <c r="L234" s="1" t="str">
        <f t="shared" si="24"/>
        <v>Fast</v>
      </c>
      <c r="M234" s="11">
        <v>1</v>
      </c>
    </row>
    <row r="235" spans="1:13" x14ac:dyDescent="0.35">
      <c r="A235" s="1" t="s">
        <v>102</v>
      </c>
      <c r="B235" s="8" t="s">
        <v>49</v>
      </c>
      <c r="C235" s="9" t="s">
        <v>61</v>
      </c>
      <c r="D235" s="10">
        <v>0</v>
      </c>
      <c r="E235" s="10">
        <v>0</v>
      </c>
      <c r="F235" s="10">
        <v>0</v>
      </c>
      <c r="G235" s="10">
        <f t="shared" si="29"/>
        <v>694400</v>
      </c>
      <c r="H235" s="10">
        <v>496000</v>
      </c>
      <c r="I235" s="16">
        <f t="shared" si="28"/>
        <v>744000</v>
      </c>
      <c r="J235" s="16">
        <f t="shared" si="23"/>
        <v>-248000</v>
      </c>
      <c r="K235" s="11">
        <f t="shared" si="25"/>
        <v>0.66666666666666663</v>
      </c>
      <c r="L235" s="1" t="str">
        <f t="shared" si="24"/>
        <v>Fast</v>
      </c>
      <c r="M235" s="11">
        <v>1</v>
      </c>
    </row>
    <row r="236" spans="1:13" x14ac:dyDescent="0.35">
      <c r="A236" s="1" t="s">
        <v>102</v>
      </c>
      <c r="B236" s="8" t="s">
        <v>63</v>
      </c>
      <c r="C236" s="9" t="s">
        <v>71</v>
      </c>
      <c r="D236" s="10">
        <v>0</v>
      </c>
      <c r="E236" s="10">
        <v>0</v>
      </c>
      <c r="F236" s="10">
        <v>0</v>
      </c>
      <c r="G236" s="10">
        <f t="shared" si="29"/>
        <v>604800</v>
      </c>
      <c r="H236" s="10">
        <v>432000</v>
      </c>
      <c r="I236" s="16">
        <f t="shared" si="28"/>
        <v>648000</v>
      </c>
      <c r="J236" s="16">
        <f t="shared" si="23"/>
        <v>-216000</v>
      </c>
      <c r="K236" s="11">
        <f t="shared" si="25"/>
        <v>0.66666666666666663</v>
      </c>
      <c r="L236" s="1" t="str">
        <f t="shared" si="24"/>
        <v>Fast</v>
      </c>
      <c r="M236" s="11">
        <v>1</v>
      </c>
    </row>
    <row r="237" spans="1:13" x14ac:dyDescent="0.35">
      <c r="A237" s="1" t="s">
        <v>102</v>
      </c>
      <c r="B237" s="8" t="s">
        <v>63</v>
      </c>
      <c r="C237" s="9" t="s">
        <v>72</v>
      </c>
      <c r="D237" s="10">
        <v>0</v>
      </c>
      <c r="E237" s="10">
        <v>0</v>
      </c>
      <c r="F237" s="10">
        <v>0</v>
      </c>
      <c r="G237" s="10">
        <f t="shared" si="29"/>
        <v>735840</v>
      </c>
      <c r="H237" s="10">
        <v>525600</v>
      </c>
      <c r="I237" s="16">
        <f t="shared" si="28"/>
        <v>788400</v>
      </c>
      <c r="J237" s="16">
        <f t="shared" si="23"/>
        <v>-262800</v>
      </c>
      <c r="K237" s="11">
        <f t="shared" si="25"/>
        <v>0.66666666666666663</v>
      </c>
      <c r="L237" s="1" t="str">
        <f t="shared" si="24"/>
        <v>Fast</v>
      </c>
      <c r="M237" s="11">
        <v>1</v>
      </c>
    </row>
    <row r="238" spans="1:13" x14ac:dyDescent="0.35">
      <c r="A238" s="1" t="s">
        <v>102</v>
      </c>
      <c r="B238" s="8" t="s">
        <v>63</v>
      </c>
      <c r="C238" s="9" t="s">
        <v>75</v>
      </c>
      <c r="D238" s="10">
        <v>0</v>
      </c>
      <c r="E238" s="10">
        <v>0</v>
      </c>
      <c r="F238" s="10">
        <v>0</v>
      </c>
      <c r="G238" s="10">
        <f t="shared" si="29"/>
        <v>384720</v>
      </c>
      <c r="H238" s="10">
        <v>274800</v>
      </c>
      <c r="I238" s="16">
        <f t="shared" si="28"/>
        <v>412200</v>
      </c>
      <c r="J238" s="16">
        <f t="shared" si="23"/>
        <v>-137400</v>
      </c>
      <c r="K238" s="11">
        <f t="shared" si="25"/>
        <v>0.66666666666666663</v>
      </c>
      <c r="L238" s="1" t="str">
        <f t="shared" si="24"/>
        <v>Fast</v>
      </c>
      <c r="M238" s="11">
        <v>1</v>
      </c>
    </row>
    <row r="239" spans="1:13" x14ac:dyDescent="0.35">
      <c r="A239" s="1" t="s">
        <v>102</v>
      </c>
      <c r="B239" s="8" t="s">
        <v>63</v>
      </c>
      <c r="C239" s="9" t="s">
        <v>77</v>
      </c>
      <c r="D239" s="10">
        <v>0</v>
      </c>
      <c r="E239" s="10">
        <v>0</v>
      </c>
      <c r="F239" s="10">
        <v>0</v>
      </c>
      <c r="G239" s="10">
        <f t="shared" si="29"/>
        <v>1167600</v>
      </c>
      <c r="H239" s="10">
        <v>834000</v>
      </c>
      <c r="I239" s="16">
        <f t="shared" si="28"/>
        <v>1251000</v>
      </c>
      <c r="J239" s="16">
        <f t="shared" si="23"/>
        <v>-417000</v>
      </c>
      <c r="K239" s="11">
        <f t="shared" si="25"/>
        <v>0.66666666666666663</v>
      </c>
      <c r="L239" s="1" t="str">
        <f t="shared" si="24"/>
        <v>Fast</v>
      </c>
      <c r="M239" s="11">
        <v>1</v>
      </c>
    </row>
    <row r="240" spans="1:13" x14ac:dyDescent="0.35">
      <c r="A240" s="1" t="s">
        <v>102</v>
      </c>
      <c r="B240" s="8" t="s">
        <v>63</v>
      </c>
      <c r="C240" s="9" t="s">
        <v>79</v>
      </c>
      <c r="D240" s="10">
        <v>0</v>
      </c>
      <c r="E240" s="10">
        <v>0</v>
      </c>
      <c r="F240" s="10">
        <v>0</v>
      </c>
      <c r="G240" s="10">
        <f t="shared" si="29"/>
        <v>770280</v>
      </c>
      <c r="H240" s="10">
        <v>550200</v>
      </c>
      <c r="I240" s="16">
        <f t="shared" si="28"/>
        <v>825300</v>
      </c>
      <c r="J240" s="16">
        <f t="shared" si="23"/>
        <v>-275100</v>
      </c>
      <c r="K240" s="11">
        <f t="shared" si="25"/>
        <v>0.66666666666666663</v>
      </c>
      <c r="L240" s="1" t="str">
        <f t="shared" si="24"/>
        <v>Fast</v>
      </c>
      <c r="M240" s="11">
        <v>1</v>
      </c>
    </row>
    <row r="241" spans="1:13" x14ac:dyDescent="0.35">
      <c r="A241" s="1" t="s">
        <v>102</v>
      </c>
      <c r="B241" s="8" t="s">
        <v>63</v>
      </c>
      <c r="C241" s="9" t="s">
        <v>80</v>
      </c>
      <c r="D241" s="10">
        <v>0</v>
      </c>
      <c r="E241" s="10">
        <v>0</v>
      </c>
      <c r="F241" s="10">
        <v>0</v>
      </c>
      <c r="G241" s="10">
        <f t="shared" si="29"/>
        <v>2782080</v>
      </c>
      <c r="H241" s="10">
        <v>1987200</v>
      </c>
      <c r="I241" s="16">
        <f t="shared" si="28"/>
        <v>2980800</v>
      </c>
      <c r="J241" s="16">
        <f t="shared" si="23"/>
        <v>-993600</v>
      </c>
      <c r="K241" s="11">
        <f t="shared" si="25"/>
        <v>0.66666666666666663</v>
      </c>
      <c r="L241" s="1" t="str">
        <f t="shared" si="24"/>
        <v>Fast</v>
      </c>
      <c r="M241" s="11">
        <v>1</v>
      </c>
    </row>
    <row r="242" spans="1:13" x14ac:dyDescent="0.35">
      <c r="A242" s="1" t="s">
        <v>102</v>
      </c>
      <c r="B242" s="8" t="s">
        <v>63</v>
      </c>
      <c r="C242" s="9" t="s">
        <v>84</v>
      </c>
      <c r="D242" s="10">
        <v>0</v>
      </c>
      <c r="E242" s="10">
        <v>0</v>
      </c>
      <c r="F242" s="10">
        <v>0</v>
      </c>
      <c r="G242" s="10">
        <f t="shared" si="29"/>
        <v>341040</v>
      </c>
      <c r="H242" s="10">
        <v>243600</v>
      </c>
      <c r="I242" s="16">
        <f t="shared" si="28"/>
        <v>365400</v>
      </c>
      <c r="J242" s="16">
        <f t="shared" si="23"/>
        <v>-121800</v>
      </c>
      <c r="K242" s="11">
        <f t="shared" si="25"/>
        <v>0.66666666666666663</v>
      </c>
      <c r="L242" s="1" t="str">
        <f t="shared" si="24"/>
        <v>Fast</v>
      </c>
      <c r="M242" s="11">
        <v>1</v>
      </c>
    </row>
    <row r="243" spans="1:13" x14ac:dyDescent="0.35">
      <c r="A243" s="1" t="s">
        <v>104</v>
      </c>
      <c r="B243" s="8" t="s">
        <v>13</v>
      </c>
      <c r="C243" s="9" t="s">
        <v>30</v>
      </c>
      <c r="D243" s="10">
        <v>0</v>
      </c>
      <c r="E243" s="10">
        <v>0</v>
      </c>
      <c r="F243" s="10">
        <v>0</v>
      </c>
      <c r="G243" s="10">
        <v>0</v>
      </c>
      <c r="H243" s="10">
        <v>1284000</v>
      </c>
      <c r="I243" s="16">
        <f t="shared" si="28"/>
        <v>1926000</v>
      </c>
      <c r="J243" s="16">
        <f t="shared" si="23"/>
        <v>-642000</v>
      </c>
      <c r="K243" s="11">
        <f t="shared" si="25"/>
        <v>0.66666666666666663</v>
      </c>
      <c r="L243" s="1" t="str">
        <f t="shared" si="24"/>
        <v>Fast</v>
      </c>
      <c r="M243" s="11">
        <v>1</v>
      </c>
    </row>
    <row r="244" spans="1:13" x14ac:dyDescent="0.35">
      <c r="A244" s="1" t="s">
        <v>104</v>
      </c>
      <c r="B244" s="8" t="s">
        <v>49</v>
      </c>
      <c r="C244" s="9" t="s">
        <v>55</v>
      </c>
      <c r="D244" s="10">
        <v>0</v>
      </c>
      <c r="E244" s="10">
        <v>0</v>
      </c>
      <c r="F244" s="10">
        <v>0</v>
      </c>
      <c r="G244" s="10">
        <v>0</v>
      </c>
      <c r="H244" s="10">
        <v>1309600</v>
      </c>
      <c r="I244" s="16">
        <f t="shared" si="28"/>
        <v>1964400</v>
      </c>
      <c r="J244" s="16">
        <f t="shared" si="23"/>
        <v>-654800</v>
      </c>
      <c r="K244" s="11">
        <f t="shared" si="25"/>
        <v>0.66666666666666663</v>
      </c>
      <c r="L244" s="1" t="str">
        <f t="shared" si="24"/>
        <v>Fast</v>
      </c>
      <c r="M244" s="11">
        <v>1</v>
      </c>
    </row>
  </sheetData>
  <hyperlinks>
    <hyperlink ref="A1" r:id="rId1" display="http://localhost:3000/" xr:uid="{E8292784-C61C-44A5-A917-2387504C2D67}"/>
  </hyperlinks>
  <pageMargins left="0.7" right="0.7" top="0.75" bottom="0.75" header="0.3" footer="0.3"/>
  <ignoredErrors>
    <ignoredError sqref="D2:F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Wibowo</dc:creator>
  <cp:lastModifiedBy>Agus Wibowo</cp:lastModifiedBy>
  <dcterms:created xsi:type="dcterms:W3CDTF">2026-09-17T03:55:04Z</dcterms:created>
  <dcterms:modified xsi:type="dcterms:W3CDTF">2026-09-18T01:05:43Z</dcterms:modified>
</cp:coreProperties>
</file>